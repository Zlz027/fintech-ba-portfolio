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与检查" sheetId="1" state="visible" r:id="rId1"/>
    <sheet xmlns:r="http://schemas.openxmlformats.org/officeDocument/2006/relationships" name="假设" sheetId="2" state="visible" r:id="rId2"/>
    <sheet xmlns:r="http://schemas.openxmlformats.org/officeDocument/2006/relationships" name="利润表" sheetId="3" state="visible" r:id="rId3"/>
    <sheet xmlns:r="http://schemas.openxmlformats.org/officeDocument/2006/relationships" name="资产负债表" sheetId="4" state="visible" r:id="rId4"/>
    <sheet xmlns:r="http://schemas.openxmlformats.org/officeDocument/2006/relationships" name="现金流量表" sheetId="5" state="visible" r:id="rId5"/>
    <sheet xmlns:r="http://schemas.openxmlformats.org/officeDocument/2006/relationships" name="支持排程" sheetId="6" state="visible" r:id="rId6"/>
    <sheet xmlns:r="http://schemas.openxmlformats.org/officeDocument/2006/relationships" name="图表" sheetId="7" state="visible" r:id="rId7"/>
    <sheet xmlns:r="http://schemas.openxmlformats.org/officeDocument/2006/relationships" name="敏感性分析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%"/>
    <numFmt numFmtId="165" formatCode="#,##0;(#,##0)"/>
    <numFmt numFmtId="166" formatCode="#,##0.00;(#,##0.00)"/>
    <numFmt numFmtId="167" formatCode="0.0"/>
    <numFmt numFmtId="168" formatCode="0.000"/>
    <numFmt numFmtId="169" formatCode="#,##0.0"/>
    <numFmt numFmtId="170" formatCode="0.0&quot;x&quot;"/>
  </numFmts>
  <fonts count="15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i val="1"/>
      <color rgb="00808080"/>
      <sz val="9"/>
    </font>
    <font>
      <name val="微软雅黑"/>
      <b val="1"/>
      <color rgb="00FFFFFF"/>
      <sz val="10"/>
    </font>
    <font>
      <name val="微软雅黑"/>
      <b val="1"/>
      <color rgb="000000FF"/>
      <sz val="11"/>
    </font>
    <font>
      <name val="微软雅黑"/>
      <color rgb="00000000"/>
      <sz val="10"/>
    </font>
    <font>
      <name val="微软雅黑"/>
      <color rgb="00808080"/>
      <sz val="9"/>
    </font>
    <font>
      <name val="微软雅黑"/>
      <b val="1"/>
      <color rgb="00000000"/>
      <sz val="10"/>
    </font>
    <font>
      <name val="微软雅黑"/>
      <color rgb="00808080"/>
      <sz val="10"/>
    </font>
    <font>
      <name val="微软雅黑"/>
      <color rgb="00000000"/>
      <sz val="9"/>
    </font>
    <font>
      <name val="微软雅黑"/>
      <b val="1"/>
      <color rgb="000000FF"/>
      <sz val="10"/>
    </font>
    <font>
      <name val="微软雅黑"/>
      <color rgb="000000FF"/>
      <sz val="10"/>
    </font>
    <font>
      <name val="微软雅黑"/>
      <color rgb="00008000"/>
      <sz val="10"/>
    </font>
    <font>
      <name val="微软雅黑"/>
      <b val="1"/>
      <color rgb="00000000"/>
      <sz val="14"/>
    </font>
    <font>
      <name val="微软雅黑"/>
      <b val="1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BDD7EE"/>
      </patternFill>
    </fill>
    <fill>
      <patternFill patternType="solid">
        <fgColor rgb="00C6EFCE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13" fillId="6" borderId="1" applyAlignment="1" pivotButton="0" quotePrefix="0" xfId="0">
      <alignment horizontal="center" vertical="center"/>
    </xf>
    <xf numFmtId="169" fontId="13" fillId="6" borderId="1" applyAlignment="1" pivotButton="0" quotePrefix="0" xfId="0">
      <alignment horizontal="center" vertical="center"/>
    </xf>
    <xf numFmtId="170" fontId="13" fillId="6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left" vertical="center"/>
    </xf>
    <xf numFmtId="0" fontId="14" fillId="7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0" fontId="14" fillId="7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7" fillId="5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9" fontId="7" fillId="6" borderId="1" applyAlignment="1" pivotButton="0" quotePrefix="0" xfId="0">
      <alignment horizontal="center" vertical="center"/>
    </xf>
    <xf numFmtId="164" fontId="7" fillId="6" borderId="1" applyAlignment="1" pivotButton="0" quotePrefix="0" xfId="0">
      <alignment horizontal="center" vertical="center"/>
    </xf>
    <xf numFmtId="3" fontId="10" fillId="4" borderId="1" applyAlignment="1" pivotButton="0" quotePrefix="0" xfId="0">
      <alignment horizontal="center" vertical="center"/>
    </xf>
    <xf numFmtId="164" fontId="10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10" fillId="4" borderId="1" applyAlignment="1" pivotButton="0" quotePrefix="0" xfId="0">
      <alignment horizontal="center" vertical="center"/>
    </xf>
    <xf numFmtId="9" fontId="11" fillId="4" borderId="1" applyAlignment="1" pivotButton="0" quotePrefix="0" xfId="0">
      <alignment horizontal="center" vertical="center"/>
    </xf>
    <xf numFmtId="164" fontId="11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3" fontId="12" fillId="0" borderId="1" applyAlignment="1" pivotButton="0" quotePrefix="0" xfId="0">
      <alignment vertical="center"/>
    </xf>
    <xf numFmtId="3" fontId="5" fillId="0" borderId="1" applyAlignment="1" pivotButton="0" quotePrefix="0" xfId="0">
      <alignment vertical="center"/>
    </xf>
    <xf numFmtId="165" fontId="11" fillId="4" borderId="1" applyAlignment="1" pivotButton="0" quotePrefix="0" xfId="0">
      <alignment vertical="center"/>
    </xf>
    <xf numFmtId="165" fontId="5" fillId="0" borderId="1" applyAlignment="1" pivotButton="0" quotePrefix="0" xfId="0">
      <alignment vertical="center"/>
    </xf>
    <xf numFmtId="165" fontId="12" fillId="0" borderId="1" applyAlignment="1" pivotButton="0" quotePrefix="0" xfId="0">
      <alignment vertical="center"/>
    </xf>
    <xf numFmtId="0" fontId="7" fillId="6" borderId="1" applyAlignment="1" pivotButton="0" quotePrefix="0" xfId="0">
      <alignment horizontal="left" vertical="center"/>
    </xf>
    <xf numFmtId="165" fontId="7" fillId="0" borderId="1" applyAlignment="1" pivotButton="0" quotePrefix="0" xfId="0">
      <alignment vertical="center"/>
    </xf>
    <xf numFmtId="165" fontId="7" fillId="6" borderId="1" applyAlignment="1" pivotButton="0" quotePrefix="0" xfId="0">
      <alignment vertical="center"/>
    </xf>
    <xf numFmtId="0" fontId="7" fillId="5" borderId="1" applyAlignment="1" pivotButton="0" quotePrefix="0" xfId="0">
      <alignment vertical="center"/>
    </xf>
    <xf numFmtId="0" fontId="6" fillId="0" borderId="1" applyAlignment="1" pivotButton="0" quotePrefix="0" xfId="0">
      <alignment horizontal="left" vertical="center"/>
    </xf>
    <xf numFmtId="9" fontId="6" fillId="0" borderId="1" applyAlignment="1" pivotButton="0" quotePrefix="0" xfId="0">
      <alignment vertical="center"/>
    </xf>
    <xf numFmtId="3" fontId="6" fillId="0" borderId="1" applyAlignment="1" pivotButton="0" quotePrefix="0" xfId="0">
      <alignment vertical="center"/>
    </xf>
    <xf numFmtId="164" fontId="6" fillId="0" borderId="1" applyAlignment="1" pivotButton="0" quotePrefix="0" xfId="0">
      <alignment vertical="center"/>
    </xf>
    <xf numFmtId="166" fontId="9" fillId="0" borderId="1" applyAlignment="1" pivotButton="0" quotePrefix="0" xfId="0">
      <alignment vertical="center"/>
    </xf>
    <xf numFmtId="0" fontId="7" fillId="6" borderId="1" applyAlignment="1" pivotButton="0" quotePrefix="0" xfId="0">
      <alignment horizontal="center" vertical="center"/>
    </xf>
    <xf numFmtId="165" fontId="6" fillId="0" borderId="1" applyAlignment="1" pivotButton="0" quotePrefix="0" xfId="0">
      <alignment vertical="center"/>
    </xf>
    <xf numFmtId="0" fontId="6" fillId="6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167" fontId="6" fillId="0" borderId="1" applyAlignment="1" pivotButton="0" quotePrefix="0" xfId="0">
      <alignment horizontal="center" vertical="center"/>
    </xf>
    <xf numFmtId="168" fontId="5" fillId="0" borderId="1" applyAlignment="1" pivotButton="0" quotePrefix="0" xfId="0">
      <alignment vertical="center"/>
    </xf>
    <xf numFmtId="164" fontId="5" fillId="0" borderId="1" applyAlignment="1" pivotButton="0" quotePrefix="0" xfId="0">
      <alignment vertical="center"/>
    </xf>
    <xf numFmtId="0" fontId="7" fillId="0" borderId="1" applyAlignment="1" pivotButton="0" quotePrefix="0" xfId="0">
      <alignment horizontal="left" vertical="center"/>
    </xf>
    <xf numFmtId="9" fontId="10" fillId="4" borderId="1" applyAlignment="1" pivotButton="0" quotePrefix="0" xfId="0">
      <alignment horizontal="center" vertical="center"/>
    </xf>
    <xf numFmtId="9" fontId="12" fillId="0" borderId="1" applyAlignment="1" pivotButton="0" quotePrefix="0" xfId="0">
      <alignment horizontal="center" vertical="center"/>
    </xf>
    <xf numFmtId="9" fontId="5" fillId="0" borderId="1" applyAlignment="1" pivotButton="0" quotePrefix="0" xfId="0">
      <alignment horizontal="center" vertical="center"/>
    </xf>
    <xf numFmtId="169" fontId="7" fillId="6" borderId="1" applyAlignment="1" pivotButton="0" quotePrefix="0" xfId="0">
      <alignment horizontal="center" vertical="center"/>
    </xf>
    <xf numFmtId="2" fontId="10" fillId="4" borderId="1" applyAlignment="1" pivotButton="0" quotePrefix="0" xfId="0">
      <alignment horizontal="center" vertical="center"/>
    </xf>
    <xf numFmtId="9" fontId="6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170" fontId="5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　营业收入与净利润（2025A–2030E）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'利润表'!A5</f>
            </strRef>
          </tx>
          <spPr>
            <a:solidFill xmlns:a="http://schemas.openxmlformats.org/drawingml/2006/main">
              <a:srgbClr val="8EAADB"/>
            </a:solidFill>
            <a:ln xmlns:a="http://schemas.openxmlformats.org/drawingml/2006/main">
              <a:prstDash val="solid"/>
            </a:ln>
          </spPr>
          <cat>
            <numRef>
              <f>'利润表'!$B$3:$G$3</f>
            </numRef>
          </cat>
          <val>
            <numRef>
              <f>'利润表'!$B$5:$G$5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'利润表'!A13</f>
            </strRef>
          </tx>
          <spPr>
            <a:ln xmlns:a="http://schemas.openxmlformats.org/drawingml/2006/main" w="22000">
              <a:solidFill>
                <a:srgbClr val="1F4E79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val>
            <numRef>
              <f>'利润表'!$B$13:$G$13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营业收入（元）</a:t>
                </a:r>
              </a:p>
            </rich>
          </tx>
        </title>
        <majorTickMark val="none"/>
        <minorTickMark val="none"/>
        <crossAx val="10"/>
        <crosses val="max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净利润（元）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　经营现金流与期末现金（2025A–2030E）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'现金流量表'!A9</f>
            </strRef>
          </tx>
          <spPr>
            <a:solidFill xmlns:a="http://schemas.openxmlformats.org/drawingml/2006/main">
              <a:srgbClr val="8EAADB"/>
            </a:solidFill>
            <a:ln xmlns:a="http://schemas.openxmlformats.org/drawingml/2006/main">
              <a:prstDash val="solid"/>
            </a:ln>
          </spPr>
          <cat>
            <numRef>
              <f>'现金流量表'!$B$3:$G$3</f>
            </numRef>
          </cat>
          <val>
            <numRef>
              <f>'现金流量表'!$B$9:$G$9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'现金流量表'!A20</f>
            </strRef>
          </tx>
          <spPr>
            <a:ln xmlns:a="http://schemas.openxmlformats.org/drawingml/2006/main" w="22000">
              <a:solidFill>
                <a:srgbClr val="1F4E79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val>
            <numRef>
              <f>'现金流量表'!$B$20:$G$20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经营现金流（元）</a:t>
                </a:r>
              </a:p>
            </rich>
          </tx>
        </title>
        <majorTickMark val="none"/>
        <minorTickMark val="none"/>
        <crossAx val="10"/>
        <crosses val="max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期末现金（元）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图4　有息负债余额与利息费用（2025A–2030E）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'支持排程'!A8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'支持排程'!$B$3:$G$3</f>
            </numRef>
          </cat>
          <val>
            <numRef>
              <f>'支持排程'!$B$8:$G$8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'支持排程'!A10</f>
            </strRef>
          </tx>
          <spPr>
            <a:ln xmlns:a="http://schemas.openxmlformats.org/drawingml/2006/main" w="22000">
              <a:solidFill>
                <a:srgbClr val="1F4E79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val>
            <numRef>
              <f>'支持排程'!$B$10:$G$10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期末有息负债（元）</a:t>
                </a:r>
              </a:p>
            </rich>
          </tx>
        </title>
        <majorTickMark val="none"/>
        <minorTickMark val="none"/>
        <crossAx val="10"/>
        <crosses val="max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利息费用（元）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　现金跑道：期末现金 vs 安全线（2025A–2030E）</a:t>
            </a:r>
          </a:p>
        </rich>
      </tx>
    </title>
    <plotArea>
      <lineChart>
        <grouping val="standard"/>
        <ser>
          <idx val="0"/>
          <order val="0"/>
          <tx>
            <strRef>
              <f>'现金流量表'!A20</f>
            </strRef>
          </tx>
          <spPr>
            <a:ln xmlns:a="http://schemas.openxmlformats.org/drawingml/2006/main" w="24000">
              <a:solidFill>
                <a:srgbClr val="1F4E79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'现金流量表'!$B$3:$G$3</f>
            </numRef>
          </cat>
          <val>
            <numRef>
              <f>'现金流量表'!$B$20:$G$20</f>
            </numRef>
          </val>
          <smooth val="0"/>
        </ser>
        <ser>
          <idx val="1"/>
          <order val="1"/>
          <tx>
            <strRef>
              <f>'现金流量表'!A22</f>
            </strRef>
          </tx>
          <spPr>
            <a:ln xmlns:a="http://schemas.openxmlformats.org/drawingml/2006/main" w="18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'现金流量表'!$B$3:$G$3</f>
            </numRef>
          </cat>
          <val>
            <numRef>
              <f>'现金流量表'!$B$22:$G$22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现金（元）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22</row>
      <rowOff>0</rowOff>
    </from>
    <ext cx="72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62</row>
      <rowOff>0</rowOff>
    </from>
    <ext cx="720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41</row>
      <rowOff>0</rowOff>
    </from>
    <ext cx="720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808080"/>
    <outlinePr summaryBelow="1" summaryRight="1"/>
    <pageSetUpPr fitToPage="1"/>
  </sheetPr>
  <dimension ref="A1:D60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44" customWidth="1" min="2" max="2"/>
    <col width="12" customWidth="1" min="3" max="3"/>
    <col width="12" customWidth="1" min="4" max="4"/>
  </cols>
  <sheetData>
    <row r="1" ht="24" customHeight="1">
      <c r="A1" s="1" t="inlineStr">
        <is>
          <t>星链数科（模拟 fintech 公司）— Excel 三表联动模型 v4 · 说明与检查</t>
        </is>
      </c>
    </row>
    <row r="2">
      <c r="A2" s="2" t="inlineStr">
        <is>
          <t>单位：人民币元 | 基年 2025A | 预测期 2026E–2030E | 打开本页即可看到模型结论与自动勾稽状态</t>
        </is>
      </c>
    </row>
    <row r="3">
      <c r="A3" s="3" t="inlineStr">
        <is>
          <t>【30 秒速览】</t>
        </is>
      </c>
    </row>
    <row r="4" ht="30" customHeight="1">
      <c r="A4" s="4" t="inlineStr">
        <is>
          <t>是什么</t>
        </is>
      </c>
      <c r="B4" s="5" t="inlineStr">
        <is>
          <t>一个 6 年（2025A + 2026E–2030E）三表联动模型：利润表 / 资产负债表 / 现金流量表全公式咬合，含债务排程与简化 DCF，改一个假设全簿重算。</t>
        </is>
      </c>
    </row>
    <row r="5" ht="30" customHeight="1">
      <c r="A5" s="4" t="inlineStr">
        <is>
          <t>怎么演示</t>
        </is>
      </c>
      <c r="B5" s="5" t="inlineStr">
        <is>
          <t>「假设」页顶部下拉框切 Base / Bull / Bear → 三表、债务排程、图表、敏感性结论同步变；本页 6 项勾稽始终显示 ✓。</t>
        </is>
      </c>
    </row>
    <row r="6" ht="30" customHeight="1">
      <c r="A6" s="4" t="inlineStr">
        <is>
          <t>核心数字</t>
        </is>
      </c>
      <c r="B6" s="5" t="str">
        <f>"2027E 净利润 "&amp;TEXT(利润表!$D$13/10000,"0.0")&amp;" 万元 · 2030E 期末现金 "&amp;TEXT(现金流量表!$G$20/10000,"0.0")&amp;" 万元 · 股权价值 "&amp;TEXT(敏感性分析!$C$15/10000,"0.0")&amp;" 万元 · 最小利息保障 "&amp;TEXT(MIN(支持排程!$C$16:$G$16),"0.0")&amp;"x"</f>
        <v>2027E 净利润 13.1 万元 · 2030E 期末现金 636.8 万元 · 股权价值 997.9 万元 · 最小利息保障 2.0x</v>
      </c>
    </row>
    <row r="8">
      <c r="A8" s="6" t="inlineStr">
        <is>
          <t>核心结论看板（随「假设」页情景自动重算）</t>
        </is>
      </c>
    </row>
    <row r="9" ht="26" customHeight="1">
      <c r="A9" s="4" t="inlineStr">
        <is>
          <t>当前情景</t>
        </is>
      </c>
      <c r="B9" s="7" t="str">
        <f>假设!$B$3</f>
        <v>Base</v>
      </c>
    </row>
    <row r="10" ht="26" customHeight="1">
      <c r="A10" s="4" t="inlineStr">
        <is>
          <t>收入增长率 / 毛利率</t>
        </is>
      </c>
      <c r="B10" s="7" t="str">
        <f>TEXT(假设!$C$5,"0.0%")&amp;"  /  "&amp;TEXT(假设!$C$6,"0.0%")</f>
        <v>5.0%  /  60.0%</v>
      </c>
    </row>
    <row r="11" ht="26" customHeight="1">
      <c r="A11" s="4" t="inlineStr">
        <is>
          <t>2027E 净利润（万元）</t>
        </is>
      </c>
      <c r="B11" s="8">
        <f>利润表!$D$13/10000</f>
        <v>13.096875</v>
      </c>
    </row>
    <row r="12" ht="26" customHeight="1">
      <c r="A12" s="4" t="inlineStr">
        <is>
          <t>2027E 期末现金（万元）</t>
        </is>
      </c>
      <c r="B12" s="8">
        <f>现金流量表!$D$20/10000</f>
        <v>927.003125</v>
      </c>
    </row>
    <row r="13" ht="26" customHeight="1">
      <c r="A13" s="4" t="inlineStr">
        <is>
          <t>2030E 期末现金（万元）</t>
        </is>
      </c>
      <c r="B13" s="8">
        <f>现金流量表!$G$20/10000</f>
        <v>636.799452734375</v>
      </c>
    </row>
    <row r="14" ht="26" customHeight="1">
      <c r="A14" s="4" t="inlineStr">
        <is>
          <t>5 年累计净利润（2026E–2030E，万元）</t>
        </is>
      </c>
      <c r="B14" s="8">
        <f>SUM(利润表!$C$13:$G$13)/10000</f>
        <v>89.311955859375</v>
      </c>
    </row>
    <row r="15" ht="26" customHeight="1">
      <c r="A15" s="4" t="inlineStr">
        <is>
          <t>增长率每 +1pp → 5 年累计净利润（万元）</t>
        </is>
      </c>
      <c r="B15" s="8">
        <f>敏感性分析!$C$45</f>
        <v>5.20217175299992</v>
      </c>
    </row>
    <row r="16" ht="26" customHeight="1">
      <c r="A16" s="4" t="inlineStr">
        <is>
          <t>股权价值（简化DCF，万元）</t>
        </is>
      </c>
      <c r="B16" s="8">
        <f>敏感性分析!$C$15/10000</f>
        <v>997.893725240762</v>
      </c>
    </row>
    <row r="17" ht="26" customHeight="1">
      <c r="A17" s="4" t="inlineStr">
        <is>
          <t>2030E 有息负债余额（万元）</t>
        </is>
      </c>
      <c r="B17" s="8">
        <f>支持排程!$G$8/10000</f>
        <v>50</v>
      </c>
    </row>
    <row r="18" ht="26" customHeight="1">
      <c r="A18" s="4" t="inlineStr">
        <is>
          <t>最小利息保障倍数（2026E–2030E）</t>
        </is>
      </c>
      <c r="B18" s="9">
        <f>MIN(支持排程!$C$16:$G$16)</f>
        <v>2.03481481481481</v>
      </c>
    </row>
    <row r="19">
      <c r="A19" s="4" t="inlineStr">
        <is>
          <t>现金安全预警</t>
        </is>
      </c>
      <c r="B19" s="10" t="str">
        <f>IF(MIN(现金流量表!$C$20:$G$20)&lt;假设!$C$14,"⚠ 预测期内现金低于安全线：最低 "&amp;TEXT(MIN(现金流量表!$C$20:$G$20),"#,##0")&amp;" 元，安全垫 "&amp;TEXT(MIN(现金流量表!$C$20:$G$20)-假设!$C$14,"#,##0")&amp;" 元","✓ 预测期内现金始终高于安全线，最低 "&amp;TEXT(MIN(现金流量表!$C$20:$G$20),"#,##0")&amp;" 元，安全垫 "&amp;TEXT(MIN(现金流量表!$C$20:$G$20)-假设!$C$14,"#,##0")&amp;" 元")</f>
        <v>✓ 预测期内现金始终高于安全线，最低 6,367,995 元，安全垫 2,367,995 元</v>
      </c>
    </row>
    <row r="20">
      <c r="A20" s="4" t="inlineStr">
        <is>
          <t>三表勾稽状态</t>
        </is>
      </c>
      <c r="B20" s="11" t="str">
        <f>IF(AND(COUNTIF(资产负债表!$B$21:$G$21,"平衡")=6,COUNTIF(资产负债表!$B$23:$G$23,"平衡")=6,SUMPRODUCT(ABS(利润表!$B$13:$G$13-现金流量表!$B$5:$G$5))&lt;0.01,SUMPRODUCT(ABS(资产负债表!$C$15:$G$15-(资产负债表!$B$15:$F$15+利润表!$C$13:$G$13)))&lt;0.01,SUMPRODUCT(ABS(资产负债表!$B$11:$G$11-支持排程!$B$8:$G$8))&lt;0.01,SUMPRODUCT(ABS(利润表!$B$10:$G$10-支持排程!$B$10:$G$10))&lt;0.01),"✓ 6 项检查全部通过：三表 + 债务排程联动无断点","✗ 存在不平衡，请检查")</f>
        <v>✓ 6 项检查全部通过：三表 + 债务排程联动无断点</v>
      </c>
    </row>
    <row r="22">
      <c r="A22" s="6" t="inlineStr">
        <is>
          <t>演示动线（面试 3 步走，建议提前演练）</t>
        </is>
      </c>
    </row>
    <row r="23">
      <c r="A23" s="12" t="inlineStr">
        <is>
          <t>① 打开本页：看上方【30 秒速览】与“核心结论看板”，再看下方“自动勾稽检查”6 项全部 ✓，说明三表 + 债务排程联动无断点。</t>
        </is>
      </c>
    </row>
    <row r="24">
      <c r="A24" s="12" t="inlineStr">
        <is>
          <t>② 打开「假设」页，把顶部“情景切换”下拉框从 Base 切到 Bull（增长率 5%→10%、毛利率 60%→65%），口头说：“我只改了这一个下拉框。”</t>
        </is>
      </c>
    </row>
    <row r="25">
      <c r="A25" s="12" t="inlineStr">
        <is>
          <t>③ 切到「利润表 / 资产负债表 / 现金流量表」看三表同步变化 → 「支持排程」看债务与固定资产滚动及 ROIC → 「图表」看趋势图与现金跑道重绘 → 「敏感性分析」第六节看三情景并排对比表与动态结论句自动改写。</t>
        </is>
      </c>
    </row>
    <row r="26">
      <c r="A26" s="12" t="inlineStr">
        <is>
          <t>④ 打开「支持排程」页，修改蓝色“新增借款 / 偿还本金”——利息费用、资产负债率、利息保障倍数、筹资现金流、期末现金全部联动（利息 = 平均余额 × 利率，无循环引用）。</t>
        </is>
      </c>
    </row>
    <row r="27">
      <c r="A27" s="12" t="inlineStr">
        <is>
          <t>提示：自定义情景请改「假设」页第 26–28 行的驱动因子映射表（蓝色单元格）；直接改正式假设区数值会覆盖情景联动。</t>
        </is>
      </c>
    </row>
    <row r="29">
      <c r="A29" s="6" t="inlineStr">
        <is>
          <t>自动勾稽检查</t>
        </is>
      </c>
    </row>
    <row r="30">
      <c r="A30" s="12" t="inlineStr">
        <is>
          <t>① 资产 = 负债 + 权益（全部 6 年）</t>
        </is>
      </c>
      <c r="B30" s="13" t="str">
        <f>IF(COUNTIF(资产负债表!$B$21:$G$21,"平衡")=6,"✓ 全部平衡（6/6）","✗ 存在不平衡")</f>
        <v>✓ 全部平衡（6/6）</v>
      </c>
    </row>
    <row r="31">
      <c r="A31" s="12" t="inlineStr">
        <is>
          <t>② 现金勾稽：本表现金 = 现金流量表期末现金（6 年）</t>
        </is>
      </c>
      <c r="B31" s="13" t="str">
        <f>IF(COUNTIF(资产负债表!$B$23:$G$23,"平衡")=6,"✓ 全部平衡（6/6）","✗ 存在不平衡")</f>
        <v>✓ 全部平衡（6/6）</v>
      </c>
    </row>
    <row r="32">
      <c r="A32" s="12" t="inlineStr">
        <is>
          <t>③ 净利润联动：利润表净利润 = 现金流量表起点</t>
        </is>
      </c>
      <c r="B32" s="13" t="str">
        <f>IF(SUMPRODUCT(ABS(利润表!$B$13:$G$13-现金流量表!$B$5:$G$5))&lt;0.01,"✓ 完全联动","✗ 存在断点")</f>
        <v>✓ 完全联动</v>
      </c>
    </row>
    <row r="33">
      <c r="A33" s="12" t="inlineStr">
        <is>
          <t>④ 留存收益滚动：上年留存 + 净利润 = 本年留存（预测年）</t>
        </is>
      </c>
      <c r="B33" s="13" t="str">
        <f>IF(SUMPRODUCT(ABS(资产负债表!$C$15:$G$15-(资产负债表!$B$15:$F$15+利润表!$C$13:$G$13)))&lt;0.01,"✓ 滚动正确","✗ 存在断点")</f>
        <v>✓ 滚动正确</v>
      </c>
    </row>
    <row r="34">
      <c r="A34" s="12" t="inlineStr">
        <is>
          <t>⑤ 有息负债联动：资产负债表 = 债务排程期末余额（6 年）</t>
        </is>
      </c>
      <c r="B34" s="13" t="str">
        <f>IF(SUMPRODUCT(ABS(资产负债表!$B$11:$G$11-支持排程!$B$8:$G$8))&lt;0.01,"✓ 完全联动","✗ 存在断点")</f>
        <v>✓ 完全联动</v>
      </c>
    </row>
    <row r="35">
      <c r="A35" s="12" t="inlineStr">
        <is>
          <t>⑥ 利息联动：利润表利息费用 = 债务排程利息（6 年）</t>
        </is>
      </c>
      <c r="B35" s="13" t="str">
        <f>IF(SUMPRODUCT(ABS(利润表!$B$10:$G$10-支持排程!$B$10:$G$10))&lt;0.01,"✓ 完全联动","✗ 存在断点")</f>
        <v>✓ 完全联动</v>
      </c>
    </row>
    <row r="37">
      <c r="A37" s="6" t="inlineStr">
        <is>
          <t>模型地图（Sheet 关系图 · 文字版）</t>
        </is>
      </c>
    </row>
    <row r="38">
      <c r="A38" s="12" t="inlineStr">
        <is>
          <t>【假设】——情景切换 + 蓝色输入，是全簿唯一数据入口：驱动 →【利润表】【资产负债表】【现金流量表】</t>
        </is>
      </c>
    </row>
    <row r="39">
      <c r="A39" s="12" t="inlineStr">
        <is>
          <t>【支持排程】——债务排程 / 固定资产排程：利息费用 → 利润表；有息负债、固定资产净值 → 资产负债表；偿付利息、新增借款 → 现金流量表</t>
        </is>
      </c>
    </row>
    <row r="40">
      <c r="A40" s="12" t="inlineStr">
        <is>
          <t>【图表】← 读取 ——【利润表 / 资产负债表 / 现金流量表 / 支持排程】：4 张图（收入与净利润、现金跑道 vs 安全线、债务余额与利息保障倍数、资产负债结构）</t>
        </is>
      </c>
    </row>
    <row r="41">
      <c r="A41" s="12" t="inlineStr">
        <is>
          <t>【敏感性分析】← 读取 —— 全簿：增长率 × 毛利率双变量（①）、边际敏感度（②）、股权价值分解（③）、三情景并排对比（第六节）</t>
        </is>
      </c>
    </row>
    <row r="42">
      <c r="A42" s="12" t="inlineStr">
        <is>
          <t>【说明与检查】（本页）← 汇总 —— 全簿：30 秒速览 + 核心看板 + 模型地图 + 6 项勾稽</t>
        </is>
      </c>
    </row>
    <row r="43">
      <c r="A43" s="12" t="inlineStr">
        <is>
          <t>数据流单向：假设 → 报表 → 排程 / 图表 / 敏感性；唯一天然回路“利息 ⇄ 现金”用平均余额法显式解开，全簿无循环引用。</t>
        </is>
      </c>
    </row>
    <row r="46">
      <c r="A46" s="6" t="inlineStr">
        <is>
          <t>使用方法与模型逻辑</t>
        </is>
      </c>
    </row>
    <row r="47">
      <c r="A47" s="12" t="inlineStr">
        <is>
          <t>【使用方法】改「假设」页蓝色单元格 → 三张报表自动重算；底部勾稽校验应始终显示“平衡”。</t>
        </is>
      </c>
    </row>
    <row r="48">
      <c r="A48" s="12" t="inlineStr">
        <is>
          <t>【情景切换】顶部下拉框 Base / Bull / Bear，自动切换收入增长率与毛利率（映射表见「假设」页第 26–28 行）。</t>
        </is>
      </c>
    </row>
    <row r="49">
      <c r="A49" s="12" t="inlineStr">
        <is>
          <t>【收入】收入 = 上年收入 ×（1 + 增长率）；客户数 = 上年客户数 ×（1 + 增长率）——假设 ARPU 稳定（期望值口径）。</t>
        </is>
      </c>
    </row>
    <row r="50">
      <c r="A50" s="12" t="inlineStr">
        <is>
          <t>【成本】毛利 = 收入 × 毛利率；运营成本 = 客户数 × 获客成本（CAC）。</t>
        </is>
      </c>
    </row>
    <row r="51">
      <c r="A51" s="12" t="inlineStr">
        <is>
          <t>【债务排程】见「支持排程」页：期末有息负债 = 期初 + 新增借款 − 偿还本金；利息 = 平均有息负债 × 年利率（A-11），新增借款自放入年起生息。</t>
        </is>
      </c>
    </row>
    <row r="52">
      <c r="A52" s="12" t="inlineStr">
        <is>
          <t>【利息口径】利息当年全额付现——经营活动加回利息费用、筹资活动列示偿付利息，两者对消；净利润 =（EBIT − 利息）×（1 − 税率），税盾自然体现，不存在循环引用。</t>
        </is>
      </c>
    </row>
    <row r="53">
      <c r="A53" s="12" t="inlineStr">
        <is>
          <t>【利润】EBIT = 毛利 − 运营成本 − 折旧；税前利润 = EBIT − 利息费用；所得税 = MAX(税前, 0) × 税率；净利润 = 税前 − 所得税。</t>
        </is>
      </c>
    </row>
    <row r="54">
      <c r="A54" s="12" t="inlineStr">
        <is>
          <t>【折旧口径】按固定资产期初净值 × 折旧率（A-12）计提，并以期初净值为上限（MIN），不会折成负值；原值 / 净值 / 累计折旧滚动见「支持排程」页。</t>
        </is>
      </c>
    </row>
    <row r="55">
      <c r="A55" s="12" t="inlineStr">
        <is>
          <t>【现金流】经营 = 净利润 + 折旧 + 利息费用 − 营运资本变动（现金流量表行名“营运资本变动（增加 = 现金占用）”，正数表示现金被占用）；投资 = −资本支出；融资 = 新增借款 − 偿还本金 − 偿付利息。</t>
        </is>
      </c>
    </row>
    <row r="56">
      <c r="A56" s="12" t="inlineStr">
        <is>
          <t>【ROIC】ROIC = EBIT ×（1 − 税率）÷（有息负债 + 总权益 − 现金），见「支持排程」页；衡量投入资本回报，不受杠杆结构影响，比 ROE 更适合跨资本结构比较。</t>
        </is>
      </c>
    </row>
    <row r="57">
      <c r="A57" s="12" t="inlineStr">
        <is>
          <t>【现金】期末现金 = 期初现金 + 净现金流；资产负债表现金 = 上年现金 + 净现金流。</t>
        </is>
      </c>
    </row>
    <row r="58">
      <c r="A58" s="12" t="inlineStr">
        <is>
          <t>【权益】留存收益 = 上年留存收益 + 当年净利润；总权益 = 股本 + 留存收益。</t>
        </is>
      </c>
    </row>
    <row r="59">
      <c r="A59" s="12" t="inlineStr">
        <is>
          <t>【估值】简化 DCF：无杠杆自由现金流（经营 + 投资 − 利息税盾），永续增长终值；股权价值 = 企业价值 + 基年现金 − 有息负债。</t>
        </is>
      </c>
    </row>
    <row r="60">
      <c r="A60" s="12" t="inlineStr">
        <is>
          <t>【数据来源与免责】模拟 fintech 公司“星链数科”技能演示模型；基年（2025A）数据为模拟实际数，非真实财报，参考 P4 月度经营分析包口径整理。仅供学习与技能展示，不构成任何投资建议。</t>
        </is>
      </c>
    </row>
  </sheetData>
  <mergeCells count="38">
    <mergeCell ref="A23:D23"/>
    <mergeCell ref="A22:D22"/>
    <mergeCell ref="A53:D53"/>
    <mergeCell ref="A38:D38"/>
    <mergeCell ref="A52:D52"/>
    <mergeCell ref="A43:D43"/>
    <mergeCell ref="A40:D40"/>
    <mergeCell ref="B19:D19"/>
    <mergeCell ref="A58:D58"/>
    <mergeCell ref="A48:D48"/>
    <mergeCell ref="A39:D39"/>
    <mergeCell ref="A59:D59"/>
    <mergeCell ref="A24:D24"/>
    <mergeCell ref="A49:D49"/>
    <mergeCell ref="A51:D51"/>
    <mergeCell ref="B6:D6"/>
    <mergeCell ref="A60:D60"/>
    <mergeCell ref="B20:D20"/>
    <mergeCell ref="A1:D1"/>
    <mergeCell ref="B5:D5"/>
    <mergeCell ref="B4:D4"/>
    <mergeCell ref="A54:D54"/>
    <mergeCell ref="A25:D25"/>
    <mergeCell ref="A41:D41"/>
    <mergeCell ref="A8:B8"/>
    <mergeCell ref="A46:D46"/>
    <mergeCell ref="A37:D37"/>
    <mergeCell ref="A56:D56"/>
    <mergeCell ref="A27:D27"/>
    <mergeCell ref="A29:B29"/>
    <mergeCell ref="A50:D50"/>
    <mergeCell ref="A3:D3"/>
    <mergeCell ref="A26:D26"/>
    <mergeCell ref="A55:D55"/>
    <mergeCell ref="A57:D57"/>
    <mergeCell ref="A2:D2"/>
    <mergeCell ref="A47:D47"/>
    <mergeCell ref="A42:D42"/>
  </mergeCells>
  <pageMargins left="0.35" right="0.3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F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13" customWidth="1" min="3" max="3"/>
    <col width="11" customWidth="1" min="4" max="4"/>
    <col width="26" customWidth="1" min="5" max="5"/>
    <col width="54" customWidth="1" min="6" max="6"/>
  </cols>
  <sheetData>
    <row r="1" ht="24" customHeight="1">
      <c r="A1" s="1" t="inlineStr">
        <is>
          <t>星链数科（模拟 fintech 公司）— 假设面板（模型主控台）</t>
        </is>
      </c>
    </row>
    <row r="2">
      <c r="A2" s="2" t="inlineStr">
        <is>
          <t>单位：人民币元 | 基年 2025A（蓝色实际数）| 预测期 2026E–2030E | 切换顶部情景 → 三张报表 + 支持排程 + 图表 + 敏感性分析全部联动重算</t>
        </is>
      </c>
    </row>
    <row r="3">
      <c r="A3" s="6" t="inlineStr">
        <is>
          <t>① 情景切换（主控台）</t>
        </is>
      </c>
      <c r="B3" s="14" t="inlineStr">
        <is>
          <t>Base</t>
        </is>
      </c>
      <c r="C3" s="15" t="inlineStr">
        <is>
          <t>下拉选择：Base / Bull / Bear　→　自动切换下方增长率与毛利率</t>
        </is>
      </c>
      <c r="D3" s="16" t="n"/>
      <c r="E3" s="16" t="n"/>
      <c r="F3" s="17" t="n"/>
    </row>
    <row r="4">
      <c r="A4" s="18" t="inlineStr">
        <is>
          <t>编号</t>
        </is>
      </c>
      <c r="B4" s="18" t="inlineStr">
        <is>
          <t>假设项</t>
        </is>
      </c>
      <c r="C4" s="18" t="inlineStr">
        <is>
          <t>数值</t>
        </is>
      </c>
      <c r="D4" s="18" t="inlineStr">
        <is>
          <t>单位</t>
        </is>
      </c>
      <c r="E4" s="18" t="inlineStr">
        <is>
          <t>数据验证</t>
        </is>
      </c>
      <c r="F4" s="18" t="inlineStr">
        <is>
          <t>影响范围</t>
        </is>
      </c>
    </row>
    <row r="5">
      <c r="A5" s="19" t="inlineStr">
        <is>
          <t>A-01</t>
        </is>
      </c>
      <c r="B5" s="20" t="inlineStr">
        <is>
          <t>收入增长率</t>
        </is>
      </c>
      <c r="C5" s="21">
        <f>INDEX($B$26:$B$28,MATCH($B$3,$A$26:$A$28,0))</f>
        <v>0.05</v>
      </c>
      <c r="D5" s="19" t="inlineStr">
        <is>
          <t>%</t>
        </is>
      </c>
      <c r="E5" s="12" t="inlineStr">
        <is>
          <t>情景联动（Base/Bull/Bear）</t>
        </is>
      </c>
      <c r="F5" s="12" t="inlineStr">
        <is>
          <t>收入、客户数、毛利、净利润、留存收益、现金</t>
        </is>
      </c>
    </row>
    <row r="6">
      <c r="A6" s="19" t="inlineStr">
        <is>
          <t>A-02</t>
        </is>
      </c>
      <c r="B6" s="20" t="inlineStr">
        <is>
          <t>毛利率</t>
        </is>
      </c>
      <c r="C6" s="22">
        <f>INDEX($C$26:$C$28,MATCH($B$3,$A$26:$A$28,0))</f>
        <v>0.6</v>
      </c>
      <c r="D6" s="19" t="inlineStr">
        <is>
          <t>%</t>
        </is>
      </c>
      <c r="E6" s="12" t="inlineStr">
        <is>
          <t>情景联动（Base/Bull/Bear）</t>
        </is>
      </c>
      <c r="F6" s="12" t="inlineStr">
        <is>
          <t>毛利、税前利润、净利润</t>
        </is>
      </c>
    </row>
    <row r="7">
      <c r="A7" s="19" t="inlineStr">
        <is>
          <t>A-03</t>
        </is>
      </c>
      <c r="B7" s="20" t="inlineStr">
        <is>
          <t>获客成本 CAC</t>
        </is>
      </c>
      <c r="C7" s="23" t="n">
        <v>200</v>
      </c>
      <c r="D7" s="19" t="inlineStr">
        <is>
          <t>元/客户</t>
        </is>
      </c>
      <c r="E7" s="12" t="inlineStr">
        <is>
          <t>数值：100–500</t>
        </is>
      </c>
      <c r="F7" s="12" t="inlineStr">
        <is>
          <t>运营成本、净利润</t>
        </is>
      </c>
    </row>
    <row r="8">
      <c r="A8" s="19" t="inlineStr">
        <is>
          <t>A-04</t>
        </is>
      </c>
      <c r="B8" s="20" t="inlineStr">
        <is>
          <t>企业所得税率</t>
        </is>
      </c>
      <c r="C8" s="24" t="n">
        <v>0.25</v>
      </c>
      <c r="D8" s="19" t="inlineStr">
        <is>
          <t>%</t>
        </is>
      </c>
      <c r="E8" s="12" t="inlineStr">
        <is>
          <t>数值：0%–35%</t>
        </is>
      </c>
      <c r="F8" s="12" t="inlineStr">
        <is>
          <t>所得税费用、净利润</t>
        </is>
      </c>
    </row>
    <row r="9">
      <c r="A9" s="19" t="inlineStr">
        <is>
          <t>A-05</t>
        </is>
      </c>
      <c r="B9" s="20" t="inlineStr">
        <is>
          <t>折现率</t>
        </is>
      </c>
      <c r="C9" s="24" t="n">
        <v>0.1</v>
      </c>
      <c r="D9" s="19" t="inlineStr">
        <is>
          <t>%</t>
        </is>
      </c>
      <c r="E9" s="12" t="inlineStr">
        <is>
          <t>数值：5%–20%</t>
        </is>
      </c>
      <c r="F9" s="12" t="inlineStr">
        <is>
          <t>估值（见敏感性分析）</t>
        </is>
      </c>
    </row>
    <row r="10">
      <c r="A10" s="19" t="inlineStr">
        <is>
          <t>A-06</t>
        </is>
      </c>
      <c r="B10" s="20" t="inlineStr">
        <is>
          <t>客户数（基年）</t>
        </is>
      </c>
      <c r="C10" s="23" t="n">
        <v>1000</v>
      </c>
      <c r="D10" s="19" t="inlineStr">
        <is>
          <t>户</t>
        </is>
      </c>
      <c r="E10" s="12" t="inlineStr">
        <is>
          <t>数值：1–100,000</t>
        </is>
      </c>
      <c r="F10" s="12" t="inlineStr">
        <is>
          <t>客户数、运营成本、净利润</t>
        </is>
      </c>
    </row>
    <row r="11">
      <c r="A11" s="19" t="inlineStr">
        <is>
          <t>A-07</t>
        </is>
      </c>
      <c r="B11" s="20" t="inlineStr">
        <is>
          <t>年资本支出</t>
        </is>
      </c>
      <c r="C11" s="23" t="n">
        <v>100000</v>
      </c>
      <c r="D11" s="19" t="inlineStr">
        <is>
          <t>元/年</t>
        </is>
      </c>
      <c r="E11" s="12" t="inlineStr">
        <is>
          <t>数值：0–1,000,000</t>
        </is>
      </c>
      <c r="F11" s="12" t="inlineStr">
        <is>
          <t>投资现金流、固定资产原值与净值、期末现金</t>
        </is>
      </c>
    </row>
    <row r="12">
      <c r="A12" s="19" t="inlineStr">
        <is>
          <t>A-08</t>
        </is>
      </c>
      <c r="B12" s="20" t="inlineStr">
        <is>
          <t>应收账款占收入比</t>
        </is>
      </c>
      <c r="C12" s="24" t="n">
        <v>0.1</v>
      </c>
      <c r="D12" s="19" t="inlineStr">
        <is>
          <t>%</t>
        </is>
      </c>
      <c r="E12" s="12" t="inlineStr">
        <is>
          <t>数值：0%–50%</t>
        </is>
      </c>
      <c r="F12" s="12" t="inlineStr">
        <is>
          <t>应收账款、营运资本、经营现金流</t>
        </is>
      </c>
    </row>
    <row r="13">
      <c r="A13" s="19" t="inlineStr">
        <is>
          <t>A-09</t>
        </is>
      </c>
      <c r="B13" s="20" t="inlineStr">
        <is>
          <t>应付账款占收入比</t>
        </is>
      </c>
      <c r="C13" s="24" t="n">
        <v>0.05</v>
      </c>
      <c r="D13" s="19" t="inlineStr">
        <is>
          <t>%</t>
        </is>
      </c>
      <c r="E13" s="12" t="inlineStr">
        <is>
          <t>数值：0%–50%</t>
        </is>
      </c>
      <c r="F13" s="12" t="inlineStr">
        <is>
          <t>应付账款、营运资本、经营现金流</t>
        </is>
      </c>
    </row>
    <row r="14">
      <c r="A14" s="19" t="inlineStr">
        <is>
          <t>A-10</t>
        </is>
      </c>
      <c r="B14" s="20" t="inlineStr">
        <is>
          <t>现金安全线</t>
        </is>
      </c>
      <c r="C14" s="23" t="n">
        <v>4000000</v>
      </c>
      <c r="D14" s="19" t="inlineStr">
        <is>
          <t>元</t>
        </is>
      </c>
      <c r="E14" s="12" t="inlineStr">
        <is>
          <t>数值：0–10,000,000</t>
        </is>
      </c>
      <c r="F14" s="12" t="inlineStr">
        <is>
          <t>现金跑道图预警线</t>
        </is>
      </c>
    </row>
    <row r="15">
      <c r="A15" s="19" t="inlineStr">
        <is>
          <t>A-11</t>
        </is>
      </c>
      <c r="B15" s="20" t="inlineStr">
        <is>
          <t>借款年利率</t>
        </is>
      </c>
      <c r="C15" s="24" t="n">
        <v>0.045</v>
      </c>
      <c r="D15" s="19" t="inlineStr">
        <is>
          <t>%</t>
        </is>
      </c>
      <c r="E15" s="12" t="inlineStr">
        <is>
          <t>数值：0%–15%</t>
        </is>
      </c>
      <c r="F15" s="12" t="inlineStr">
        <is>
          <t>利息费用、税前利润、净利润、偿债能力指标</t>
        </is>
      </c>
    </row>
    <row r="16">
      <c r="A16" s="19" t="inlineStr">
        <is>
          <t>A-12</t>
        </is>
      </c>
      <c r="B16" s="20" t="inlineStr">
        <is>
          <t>折旧率（按固定资产净值）</t>
        </is>
      </c>
      <c r="C16" s="24" t="n">
        <v>0.05</v>
      </c>
      <c r="D16" s="19" t="inlineStr">
        <is>
          <t>%</t>
        </is>
      </c>
      <c r="E16" s="12" t="inlineStr">
        <is>
          <t>数值：0%–20%</t>
        </is>
      </c>
      <c r="F16" s="12" t="inlineStr">
        <is>
          <t>折旧、税前利润、固定资产净值、经营现金流</t>
        </is>
      </c>
    </row>
    <row r="18">
      <c r="A18" s="25" t="inlineStr">
        <is>
          <t>颜色规范：蓝色字体 = 可修改输入；黑色字体 = 本表公式计算；绿色字体 = 跨表引用；浅蓝底 = 受情景切换器驱动或校验区。</t>
        </is>
      </c>
    </row>
    <row r="19">
      <c r="A19" s="25" t="inlineStr">
        <is>
          <t>① 情景切换：顶部下拉框切换 Base / Bull / Bear，自动改变收入增长率与毛利率；其余假设沿用默认值，可单独覆盖。</t>
        </is>
      </c>
    </row>
    <row r="20">
      <c r="A20" s="25" t="inlineStr">
        <is>
          <t>② 驱动因子映射表位于本表下方（可见可改）：三情景的增长率/毛利率均带数据验证，改数值即可自定义情景。</t>
        </is>
      </c>
    </row>
    <row r="21">
      <c r="A21" s="25" t="inlineStr">
        <is>
          <t>③ 债务与折旧排程集中在「支持排程」页：新增借款/偿还本金为蓝色融资计划输入；利息 = 平均有息负债 × 年利率（A-11），当年全额付现，不构成循环引用。</t>
        </is>
      </c>
    </row>
    <row r="22">
      <c r="A22" s="25" t="inlineStr">
        <is>
          <t>④ 折旧按固定资产期初净值 × 折旧率（A-12）计提，并以期初净值为上限，不会折成负值；原值/净值/累计折旧滚动见「支持排程」页。</t>
        </is>
      </c>
    </row>
    <row r="23">
      <c r="A23" s="25" t="inlineStr">
        <is>
          <t>⑤ 所有预测单元格均为公式、无硬编码——改任一项，利润表 / 资产负债表 / 现金流量表 / 支持排程 / 图表 / 敏感性分析同步联动。</t>
        </is>
      </c>
    </row>
    <row r="24">
      <c r="A24" s="6" t="inlineStr">
        <is>
          <t>② 驱动因子映射表（情景切换器数据源 · 蓝色可直接修改）</t>
        </is>
      </c>
    </row>
    <row r="25">
      <c r="A25" s="18" t="inlineStr">
        <is>
          <t>情景</t>
        </is>
      </c>
      <c r="B25" s="18" t="inlineStr">
        <is>
          <t>收入增长率</t>
        </is>
      </c>
      <c r="C25" s="18" t="inlineStr">
        <is>
          <t>毛利率</t>
        </is>
      </c>
    </row>
    <row r="26">
      <c r="A26" s="26" t="inlineStr">
        <is>
          <t>Base</t>
        </is>
      </c>
      <c r="B26" s="27" t="n">
        <v>0.05</v>
      </c>
      <c r="C26" s="28" t="n">
        <v>0.6</v>
      </c>
    </row>
    <row r="27">
      <c r="A27" s="26" t="inlineStr">
        <is>
          <t>Bull</t>
        </is>
      </c>
      <c r="B27" s="27" t="n">
        <v>0.1</v>
      </c>
      <c r="C27" s="28" t="n">
        <v>0.65</v>
      </c>
    </row>
    <row r="28">
      <c r="A28" s="26" t="inlineStr">
        <is>
          <t>Bear</t>
        </is>
      </c>
      <c r="B28" s="27" t="n">
        <v>0.03</v>
      </c>
      <c r="C28" s="28" t="n">
        <v>0.55</v>
      </c>
    </row>
  </sheetData>
  <mergeCells count="10">
    <mergeCell ref="A24:F24"/>
    <mergeCell ref="A2:F2"/>
    <mergeCell ref="C3:F3"/>
    <mergeCell ref="A19:F19"/>
    <mergeCell ref="A1:F1"/>
    <mergeCell ref="A23:F23"/>
    <mergeCell ref="A22:F22"/>
    <mergeCell ref="A18:F18"/>
    <mergeCell ref="A20:F20"/>
    <mergeCell ref="A21:F21"/>
  </mergeCells>
  <dataValidations count="13">
    <dataValidation sqref="C7" showDropDown="0" showInputMessage="1" showErrorMessage="1" allowBlank="0" errorTitle="输入无效" error="请输入 100–500 范围内的数值" promptTitle="获客成本 CAC" prompt="有效范围：100–500" type="decimal" operator="between">
      <formula1>100</formula1>
      <formula2>500</formula2>
    </dataValidation>
    <dataValidation sqref="C8" showDropDown="0" showInputMessage="1" showErrorMessage="1" allowBlank="0" errorTitle="输入无效" error="请输入 0%–35% 范围内的数值" promptTitle="企业所得税率" prompt="有效范围：0%–35%" type="decimal" operator="between">
      <formula1>0</formula1>
      <formula2>0.35</formula2>
    </dataValidation>
    <dataValidation sqref="C9" showDropDown="0" showInputMessage="1" showErrorMessage="1" allowBlank="0" errorTitle="输入无效" error="请输入 5%–20% 范围内的数值" promptTitle="折现率" prompt="有效范围：5%–20%" type="decimal" operator="between">
      <formula1>0.05</formula1>
      <formula2>0.2</formula2>
    </dataValidation>
    <dataValidation sqref="C10" showDropDown="0" showInputMessage="1" showErrorMessage="1" allowBlank="0" errorTitle="输入无效" error="请输入 1–100,000 范围内的数值" promptTitle="客户数（基年）" prompt="有效范围：1–100,000" type="whole" operator="between">
      <formula1>1</formula1>
      <formula2>100000</formula2>
    </dataValidation>
    <dataValidation sqref="C11" showDropDown="0" showInputMessage="1" showErrorMessage="1" allowBlank="0" errorTitle="输入无效" error="请输入 0–1,000,000 范围内的数值" promptTitle="年资本支出" prompt="有效范围：0–1,000,000" type="whole" operator="between">
      <formula1>0</formula1>
      <formula2>1000000</formula2>
    </dataValidation>
    <dataValidation sqref="C12" showDropDown="0" showInputMessage="1" showErrorMessage="1" allowBlank="0" errorTitle="输入无效" error="请输入 0%–50% 范围内的数值" promptTitle="应收账款占收入比" prompt="有效范围：0%–50%" type="decimal" operator="between">
      <formula1>0</formula1>
      <formula2>0.5</formula2>
    </dataValidation>
    <dataValidation sqref="C13" showDropDown="0" showInputMessage="1" showErrorMessage="1" allowBlank="0" errorTitle="输入无效" error="请输入 0%–50% 范围内的数值" promptTitle="应付账款占收入比" prompt="有效范围：0%–50%" type="decimal" operator="between">
      <formula1>0</formula1>
      <formula2>0.5</formula2>
    </dataValidation>
    <dataValidation sqref="C14" showDropDown="0" showInputMessage="1" showErrorMessage="1" allowBlank="0" errorTitle="输入无效" error="请输入 0–10,000,000 范围内的数值" promptTitle="现金安全线" prompt="有效范围：0–10,000,000" type="whole" operator="between">
      <formula1>0</formula1>
      <formula2>10000000</formula2>
    </dataValidation>
    <dataValidation sqref="C15" showDropDown="0" showInputMessage="1" showErrorMessage="1" allowBlank="0" errorTitle="输入无效" error="请输入 0%–15% 范围内的数值" promptTitle="借款年利率" prompt="有效范围：0%–15%" type="decimal" operator="between">
      <formula1>0</formula1>
      <formula2>0.15</formula2>
    </dataValidation>
    <dataValidation sqref="C16" showDropDown="0" showInputMessage="1" showErrorMessage="1" allowBlank="0" errorTitle="输入无效" error="请输入 0%–20% 范围内的数值" promptTitle="折旧率（按固定资产净值）" prompt="有效范围：0%–20%" type="decimal" operator="between">
      <formula1>0</formula1>
      <formula2>0.2</formula2>
    </dataValidation>
    <dataValidation sqref="B3" showDropDown="0" showInputMessage="1" showErrorMessage="1" allowBlank="0" errorTitle="输入无效" error="请从下拉列表中选择：Base / Bull / Bear" promptTitle="情景切换" prompt="切换情景后，收入增长率与毛利率自动切换，三表联动" type="list">
      <formula1>"Base,Bull,Bear"</formula1>
    </dataValidation>
    <dataValidation sqref="B26:B28" showDropDown="0" showInputMessage="1" showErrorMessage="1" allowBlank="0" errorTitle="输入无效" error="请从下拉列表中选择：3% / 5% / 8% / 10% / 15% / 20%" promptTitle="收入增长率" prompt="下拉选择" type="list">
      <formula1>"3%,5%,8%,10%,15%,20%"</formula1>
    </dataValidation>
    <dataValidation sqref="C26:C28" showDropDown="0" showInputMessage="1" showErrorMessage="1" allowBlank="0" errorTitle="输入无效" error="请输入 0%–100% 之间的数值" promptTitle="毛利率" prompt="有效范围：0%–100%" type="decimal" operator="between">
      <formula1>0</formula1>
      <formula2>1</formula2>
    </dataValidation>
  </dataValidations>
  <pageMargins left="0.35" right="0.35" top="1" bottom="1" header="0.5" footer="0.5"/>
  <pageSetup orientation="landscape" fitToHeight="1" fitToWidth="1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G1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4" customHeight="1">
      <c r="A1" s="1" t="inlineStr">
        <is>
          <t>星链数科 — 利润表（Income Statement）</t>
        </is>
      </c>
    </row>
    <row r="2">
      <c r="A2" s="2" t="inlineStr">
        <is>
          <t>单位：元 | 2025A 为基年实际数（蓝色），2026E–2030E 由假设面板情景驱动；利息费用来自「支持排程」债务排程</t>
        </is>
      </c>
    </row>
    <row r="3">
      <c r="A3" s="29" t="inlineStr">
        <is>
          <t>项目</t>
        </is>
      </c>
      <c r="B3" s="18" t="inlineStr">
        <is>
          <t>2025A</t>
        </is>
      </c>
      <c r="C3" s="18" t="inlineStr">
        <is>
          <t>2026E</t>
        </is>
      </c>
      <c r="D3" s="18" t="inlineStr">
        <is>
          <t>2027E</t>
        </is>
      </c>
      <c r="E3" s="18" t="inlineStr">
        <is>
          <t>2028E</t>
        </is>
      </c>
      <c r="F3" s="18" t="inlineStr">
        <is>
          <t>2029E</t>
        </is>
      </c>
      <c r="G3" s="18" t="inlineStr">
        <is>
          <t>2030E</t>
        </is>
      </c>
    </row>
    <row r="4">
      <c r="A4" s="20" t="inlineStr">
        <is>
          <t>客户数（期末，户）</t>
        </is>
      </c>
      <c r="B4" s="30">
        <f>假设!$C$10</f>
        <v>1000</v>
      </c>
      <c r="C4" s="31">
        <f>B4*(1+假设!$C$5)</f>
        <v>1050</v>
      </c>
      <c r="D4" s="31">
        <f>C4*(1+假设!$C$5)</f>
        <v>1102.5</v>
      </c>
      <c r="E4" s="31">
        <f>D4*(1+假设!$C$5)</f>
        <v>1157.625</v>
      </c>
      <c r="F4" s="31">
        <f>E4*(1+假设!$C$5)</f>
        <v>1215.50625</v>
      </c>
      <c r="G4" s="31">
        <f>F4*(1+假设!$C$5)</f>
        <v>1276.2815625</v>
      </c>
    </row>
    <row r="5">
      <c r="A5" s="20" t="inlineStr">
        <is>
          <t>营业收入</t>
        </is>
      </c>
      <c r="B5" s="32" t="n">
        <v>1000000</v>
      </c>
      <c r="C5" s="33">
        <f>B5*(1+假设!$C$5)</f>
        <v>1050000</v>
      </c>
      <c r="D5" s="33">
        <f>C5*(1+假设!$C$5)</f>
        <v>1102500</v>
      </c>
      <c r="E5" s="33">
        <f>D5*(1+假设!$C$5)</f>
        <v>1157625</v>
      </c>
      <c r="F5" s="33">
        <f>E5*(1+假设!$C$5)</f>
        <v>1215506.25</v>
      </c>
      <c r="G5" s="33">
        <f>F5*(1+假设!$C$5)</f>
        <v>1276281.5625</v>
      </c>
    </row>
    <row r="6">
      <c r="A6" s="20" t="inlineStr">
        <is>
          <t>毛利</t>
        </is>
      </c>
      <c r="B6" s="32" t="n">
        <v>600000</v>
      </c>
      <c r="C6" s="33">
        <f>C5*假设!$C$6</f>
        <v>630000</v>
      </c>
      <c r="D6" s="33">
        <f>D5*假设!$C$6</f>
        <v>661500</v>
      </c>
      <c r="E6" s="33">
        <f>E5*假设!$C$6</f>
        <v>694575</v>
      </c>
      <c r="F6" s="33">
        <f>F5*假设!$C$6</f>
        <v>729303.75</v>
      </c>
      <c r="G6" s="33">
        <f>G5*假设!$C$6</f>
        <v>765768.9375</v>
      </c>
    </row>
    <row r="7">
      <c r="A7" s="20" t="inlineStr">
        <is>
          <t>运营成本（获客：客户数×CAC）</t>
        </is>
      </c>
      <c r="B7" s="32" t="n">
        <v>200000</v>
      </c>
      <c r="C7" s="33">
        <f>C4*假设!$C$7</f>
        <v>210000</v>
      </c>
      <c r="D7" s="33">
        <f>D4*假设!$C$7</f>
        <v>220500</v>
      </c>
      <c r="E7" s="33">
        <f>E4*假设!$C$7</f>
        <v>231525</v>
      </c>
      <c r="F7" s="33">
        <f>F4*假设!$C$7</f>
        <v>243101.25</v>
      </c>
      <c r="G7" s="33">
        <f>G4*假设!$C$7</f>
        <v>255256.3125</v>
      </c>
    </row>
    <row r="8">
      <c r="A8" s="20" t="inlineStr">
        <is>
          <t>折旧（支持排程·按净值计提）</t>
        </is>
      </c>
      <c r="B8" s="32" t="n">
        <v>100000</v>
      </c>
      <c r="C8" s="34">
        <f>支持排程!C23</f>
        <v>97500</v>
      </c>
      <c r="D8" s="34">
        <f>支持排程!D23</f>
        <v>97625</v>
      </c>
      <c r="E8" s="34">
        <f>支持排程!E23</f>
        <v>97743.75</v>
      </c>
      <c r="F8" s="34">
        <f>支持排程!F23</f>
        <v>97856.5625</v>
      </c>
      <c r="G8" s="34">
        <f>支持排程!G23</f>
        <v>97963.734375</v>
      </c>
    </row>
    <row r="9">
      <c r="A9" s="35" t="inlineStr">
        <is>
          <t>息税前利润 EBIT</t>
        </is>
      </c>
      <c r="B9" s="36">
        <f>B6-B7-B8</f>
        <v>300000</v>
      </c>
      <c r="C9" s="36">
        <f>C6-C7-C8</f>
        <v>322500</v>
      </c>
      <c r="D9" s="36">
        <f>D6-D7-D8</f>
        <v>343375</v>
      </c>
      <c r="E9" s="36">
        <f>E6-E7-E8</f>
        <v>365306.25</v>
      </c>
      <c r="F9" s="36">
        <f>F6-F7-F8</f>
        <v>388345.9375</v>
      </c>
      <c r="G9" s="36">
        <f>G6-G7-G8</f>
        <v>412548.890625</v>
      </c>
    </row>
    <row r="10">
      <c r="A10" s="20" t="inlineStr">
        <is>
          <t>减：利息费用（平均有息负债×利率）</t>
        </is>
      </c>
      <c r="B10" s="34">
        <f>支持排程!B10</f>
        <v>45000</v>
      </c>
      <c r="C10" s="34">
        <f>支持排程!C10</f>
        <v>123750</v>
      </c>
      <c r="D10" s="34">
        <f>支持排程!D10</f>
        <v>168750</v>
      </c>
      <c r="E10" s="34">
        <f>支持排程!E10</f>
        <v>168750</v>
      </c>
      <c r="F10" s="34">
        <f>支持排程!F10</f>
        <v>123750</v>
      </c>
      <c r="G10" s="34">
        <f>支持排程!G10</f>
        <v>56250</v>
      </c>
    </row>
    <row r="11">
      <c r="A11" s="35" t="inlineStr">
        <is>
          <t>税前利润</t>
        </is>
      </c>
      <c r="B11" s="36">
        <f>B9-B10</f>
        <v>255000</v>
      </c>
      <c r="C11" s="36">
        <f>C9-C10</f>
        <v>198750</v>
      </c>
      <c r="D11" s="36">
        <f>D9-D10</f>
        <v>174625</v>
      </c>
      <c r="E11" s="36">
        <f>E9-E10</f>
        <v>196556.25</v>
      </c>
      <c r="F11" s="36">
        <f>F9-F10</f>
        <v>264595.9375</v>
      </c>
      <c r="G11" s="36">
        <f>G9-G10</f>
        <v>356298.890625</v>
      </c>
    </row>
    <row r="12">
      <c r="A12" s="20" t="inlineStr">
        <is>
          <t>减：所得税费用</t>
        </is>
      </c>
      <c r="B12" s="33">
        <f>MAX(B11,0)*假设!$C$8</f>
        <v>63750</v>
      </c>
      <c r="C12" s="33">
        <f>MAX(C11,0)*假设!$C$8</f>
        <v>49687.5</v>
      </c>
      <c r="D12" s="33">
        <f>MAX(D11,0)*假设!$C$8</f>
        <v>43656.25</v>
      </c>
      <c r="E12" s="33">
        <f>MAX(E11,0)*假设!$C$8</f>
        <v>49139.0625</v>
      </c>
      <c r="F12" s="33">
        <f>MAX(F11,0)*假设!$C$8</f>
        <v>66148.984375</v>
      </c>
      <c r="G12" s="33">
        <f>MAX(G11,0)*假设!$C$8</f>
        <v>89074.72265625</v>
      </c>
    </row>
    <row r="13">
      <c r="A13" s="35" t="inlineStr">
        <is>
          <t>净利润</t>
        </is>
      </c>
      <c r="B13" s="37">
        <f>B11-B12</f>
        <v>191250</v>
      </c>
      <c r="C13" s="37">
        <f>C11-C12</f>
        <v>149062.5</v>
      </c>
      <c r="D13" s="37">
        <f>D11-D12</f>
        <v>130968.75</v>
      </c>
      <c r="E13" s="37">
        <f>E11-E12</f>
        <v>147417.1875</v>
      </c>
      <c r="F13" s="37">
        <f>F11-F12</f>
        <v>198446.953125</v>
      </c>
      <c r="G13" s="37">
        <f>G11-G12</f>
        <v>267224.16796875</v>
      </c>
    </row>
    <row r="15">
      <c r="A15" s="29" t="inlineStr">
        <is>
          <t>补充指标</t>
        </is>
      </c>
      <c r="B15" s="38" t="n"/>
      <c r="C15" s="38" t="n"/>
      <c r="D15" s="38" t="n"/>
      <c r="E15" s="38" t="n"/>
      <c r="F15" s="38" t="n"/>
      <c r="G15" s="38" t="n"/>
    </row>
    <row r="16">
      <c r="A16" s="39" t="inlineStr">
        <is>
          <t>收入同比增长率</t>
        </is>
      </c>
      <c r="B16" s="19" t="inlineStr">
        <is>
          <t>—</t>
        </is>
      </c>
      <c r="C16" s="40">
        <f>C5/B5-1</f>
        <v>0.05</v>
      </c>
      <c r="D16" s="40">
        <f>D5/C5-1</f>
        <v>0.05</v>
      </c>
      <c r="E16" s="40">
        <f>E5/D5-1</f>
        <v>0.05</v>
      </c>
      <c r="F16" s="40">
        <f>F5/E5-1</f>
        <v>0.05</v>
      </c>
      <c r="G16" s="40">
        <f>G5/F5-1</f>
        <v>0.05</v>
      </c>
    </row>
    <row r="17">
      <c r="A17" s="39" t="inlineStr">
        <is>
          <t>ARPU（收入/客户数，元）</t>
        </is>
      </c>
      <c r="C17" s="41">
        <f>C5/C4</f>
        <v>1000</v>
      </c>
      <c r="D17" s="41">
        <f>D5/D4</f>
        <v>1000</v>
      </c>
      <c r="E17" s="41">
        <f>E5/E4</f>
        <v>1000</v>
      </c>
      <c r="F17" s="41">
        <f>F5/F4</f>
        <v>1000</v>
      </c>
      <c r="G17" s="41">
        <f>G5/G4</f>
        <v>1000</v>
      </c>
    </row>
    <row r="18">
      <c r="A18" s="39" t="inlineStr">
        <is>
          <t>毛利率</t>
        </is>
      </c>
      <c r="B18" s="42">
        <f>B6/B5</f>
        <v>0.6</v>
      </c>
      <c r="C18" s="42">
        <f>C6/C5</f>
        <v>0.6</v>
      </c>
      <c r="D18" s="42">
        <f>D6/D5</f>
        <v>0.6</v>
      </c>
      <c r="E18" s="42">
        <f>E6/E5</f>
        <v>0.6</v>
      </c>
      <c r="F18" s="42">
        <f>F6/F5</f>
        <v>0.6</v>
      </c>
      <c r="G18" s="42">
        <f>G6/G5</f>
        <v>0.6</v>
      </c>
    </row>
    <row r="19">
      <c r="A19" s="39" t="inlineStr">
        <is>
          <t>净利率</t>
        </is>
      </c>
      <c r="B19" s="42">
        <f>B13/B5</f>
        <v>0.19125</v>
      </c>
      <c r="C19" s="42">
        <f>C13/C5</f>
        <v>0.141964285714286</v>
      </c>
      <c r="D19" s="42">
        <f>D13/D5</f>
        <v>0.118792517006803</v>
      </c>
      <c r="E19" s="42">
        <f>E13/E5</f>
        <v>0.127344509232264</v>
      </c>
      <c r="F19" s="42">
        <f>F13/F5</f>
        <v>0.163262799450846</v>
      </c>
      <c r="G19" s="42">
        <f>G13/G5</f>
        <v>0.209377127916278</v>
      </c>
    </row>
  </sheetData>
  <mergeCells count="2">
    <mergeCell ref="A2:G2"/>
    <mergeCell ref="A1:G1"/>
  </mergeCells>
  <pageMargins left="0.35" right="0.35" top="1" bottom="1" header="0.5" footer="0.5"/>
  <pageSetup orientation="landscape" fitToHeight="1" fitToWidth="1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G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4" customHeight="1">
      <c r="A1" s="1" t="inlineStr">
        <is>
          <t>星链数科 — 资产负债表（Balance Sheet）</t>
        </is>
      </c>
    </row>
    <row r="2">
      <c r="A2" s="2" t="inlineStr">
        <is>
          <t>单位：元 | 勾稽关系：总资产 = 总负债 + 总权益；现金与留存收益逐年滚动；有息负债与「支持排程」一致</t>
        </is>
      </c>
    </row>
    <row r="3">
      <c r="A3" s="29" t="inlineStr">
        <is>
          <t>项目</t>
        </is>
      </c>
      <c r="B3" s="18" t="inlineStr">
        <is>
          <t>2025A</t>
        </is>
      </c>
      <c r="C3" s="18" t="inlineStr">
        <is>
          <t>2026E</t>
        </is>
      </c>
      <c r="D3" s="18" t="inlineStr">
        <is>
          <t>2027E</t>
        </is>
      </c>
      <c r="E3" s="18" t="inlineStr">
        <is>
          <t>2028E</t>
        </is>
      </c>
      <c r="F3" s="18" t="inlineStr">
        <is>
          <t>2029E</t>
        </is>
      </c>
      <c r="G3" s="18" t="inlineStr">
        <is>
          <t>2030E</t>
        </is>
      </c>
    </row>
    <row r="4">
      <c r="A4" s="29" t="inlineStr">
        <is>
          <t>资产</t>
        </is>
      </c>
      <c r="B4" s="38" t="n"/>
      <c r="C4" s="38" t="n"/>
      <c r="D4" s="38" t="n"/>
      <c r="E4" s="38" t="n"/>
      <c r="F4" s="38" t="n"/>
      <c r="G4" s="38" t="n"/>
    </row>
    <row r="5">
      <c r="A5" s="20" t="inlineStr">
        <is>
          <t>现金</t>
        </is>
      </c>
      <c r="B5" s="32" t="n">
        <v>7000000</v>
      </c>
      <c r="C5" s="33">
        <f>B5+现金流量表!C18</f>
        <v>8644062.5</v>
      </c>
      <c r="D5" s="33">
        <f>C5+现金流量表!D18</f>
        <v>9270031.25</v>
      </c>
      <c r="E5" s="33">
        <f>D5+现金流量表!E18</f>
        <v>8912435.9375</v>
      </c>
      <c r="F5" s="33">
        <f>E5+现金流量表!F18</f>
        <v>7605845.390625</v>
      </c>
      <c r="G5" s="33">
        <f>F5+现金流量表!G18</f>
        <v>6367994.52734375</v>
      </c>
    </row>
    <row r="6">
      <c r="A6" s="20" t="inlineStr">
        <is>
          <t>应收账款</t>
        </is>
      </c>
      <c r="B6" s="32" t="n">
        <v>100000</v>
      </c>
      <c r="C6" s="33">
        <f>利润表!C5*假设!$C$12</f>
        <v>105000</v>
      </c>
      <c r="D6" s="33">
        <f>利润表!D5*假设!$C$12</f>
        <v>110250</v>
      </c>
      <c r="E6" s="33">
        <f>利润表!E5*假设!$C$12</f>
        <v>115762.5</v>
      </c>
      <c r="F6" s="33">
        <f>利润表!F5*假设!$C$12</f>
        <v>121550.625</v>
      </c>
      <c r="G6" s="33">
        <f>利润表!G5*假设!$C$12</f>
        <v>127628.15625</v>
      </c>
    </row>
    <row r="7">
      <c r="A7" s="20" t="inlineStr">
        <is>
          <t>固定资产净值（支持排程）</t>
        </is>
      </c>
      <c r="B7" s="34">
        <f>支持排程!B24</f>
        <v>1950000</v>
      </c>
      <c r="C7" s="34">
        <f>支持排程!C24</f>
        <v>1952500</v>
      </c>
      <c r="D7" s="34">
        <f>支持排程!D24</f>
        <v>1954875</v>
      </c>
      <c r="E7" s="34">
        <f>支持排程!E24</f>
        <v>1957131.25</v>
      </c>
      <c r="F7" s="34">
        <f>支持排程!F24</f>
        <v>1959274.6875</v>
      </c>
      <c r="G7" s="34">
        <f>支持排程!G24</f>
        <v>1961310.953125</v>
      </c>
    </row>
    <row r="8">
      <c r="A8" s="35" t="inlineStr">
        <is>
          <t>总资产</t>
        </is>
      </c>
      <c r="B8" s="37">
        <f>SUM(B5:B7)</f>
        <v>9050000</v>
      </c>
      <c r="C8" s="37">
        <f>SUM(C5:C7)</f>
        <v>10701562.5</v>
      </c>
      <c r="D8" s="37">
        <f>SUM(D5:D7)</f>
        <v>11335156.25</v>
      </c>
      <c r="E8" s="37">
        <f>SUM(E5:E7)</f>
        <v>10985329.6875</v>
      </c>
      <c r="F8" s="37">
        <f>SUM(F5:F7)</f>
        <v>9686670.703125</v>
      </c>
      <c r="G8" s="37">
        <f>SUM(G5:G7)</f>
        <v>8456933.63671875</v>
      </c>
    </row>
    <row r="9">
      <c r="A9" s="29" t="inlineStr">
        <is>
          <t>负债</t>
        </is>
      </c>
      <c r="B9" s="38" t="n"/>
      <c r="C9" s="38" t="n"/>
      <c r="D9" s="38" t="n"/>
      <c r="E9" s="38" t="n"/>
      <c r="F9" s="38" t="n"/>
      <c r="G9" s="38" t="n"/>
    </row>
    <row r="10">
      <c r="A10" s="20" t="inlineStr">
        <is>
          <t>应付账款</t>
        </is>
      </c>
      <c r="B10" s="32" t="n">
        <v>50000</v>
      </c>
      <c r="C10" s="33">
        <f>利润表!C5*假设!$C$13</f>
        <v>52500</v>
      </c>
      <c r="D10" s="33">
        <f>利润表!D5*假设!$C$13</f>
        <v>55125</v>
      </c>
      <c r="E10" s="33">
        <f>利润表!E5*假设!$C$13</f>
        <v>57881.25</v>
      </c>
      <c r="F10" s="33">
        <f>利润表!F5*假设!$C$13</f>
        <v>60775.3125</v>
      </c>
      <c r="G10" s="33">
        <f>利润表!G5*假设!$C$13</f>
        <v>63814.078125</v>
      </c>
    </row>
    <row r="11">
      <c r="A11" s="20" t="inlineStr">
        <is>
          <t>有息负债（支持排程）</t>
        </is>
      </c>
      <c r="B11" s="34">
        <f>支持排程!B8</f>
        <v>2000000</v>
      </c>
      <c r="C11" s="34">
        <f>支持排程!C8</f>
        <v>3500000</v>
      </c>
      <c r="D11" s="34">
        <f>支持排程!D8</f>
        <v>4000000</v>
      </c>
      <c r="E11" s="34">
        <f>支持排程!E8</f>
        <v>3500000</v>
      </c>
      <c r="F11" s="34">
        <f>支持排程!F8</f>
        <v>2000000</v>
      </c>
      <c r="G11" s="34">
        <f>支持排程!G8</f>
        <v>500000</v>
      </c>
    </row>
    <row r="12">
      <c r="A12" s="35" t="inlineStr">
        <is>
          <t>总负债</t>
        </is>
      </c>
      <c r="B12" s="37">
        <f>B10+B11</f>
        <v>2050000</v>
      </c>
      <c r="C12" s="37">
        <f>C10+C11</f>
        <v>3552500</v>
      </c>
      <c r="D12" s="37">
        <f>D10+D11</f>
        <v>4055125</v>
      </c>
      <c r="E12" s="37">
        <f>E10+E11</f>
        <v>3557881.25</v>
      </c>
      <c r="F12" s="37">
        <f>F10+F11</f>
        <v>2060775.3125</v>
      </c>
      <c r="G12" s="37">
        <f>G10+G11</f>
        <v>563814.078125</v>
      </c>
    </row>
    <row r="13">
      <c r="A13" s="29" t="inlineStr">
        <is>
          <t>权益</t>
        </is>
      </c>
      <c r="B13" s="38" t="n"/>
      <c r="C13" s="38" t="n"/>
      <c r="D13" s="38" t="n"/>
      <c r="E13" s="38" t="n"/>
      <c r="F13" s="38" t="n"/>
      <c r="G13" s="38" t="n"/>
    </row>
    <row r="14">
      <c r="A14" s="20" t="inlineStr">
        <is>
          <t>股本</t>
        </is>
      </c>
      <c r="B14" s="32" t="n">
        <v>3000000</v>
      </c>
      <c r="C14" s="33">
        <f>B14</f>
        <v>3000000</v>
      </c>
      <c r="D14" s="33">
        <f>C14</f>
        <v>3000000</v>
      </c>
      <c r="E14" s="33">
        <f>D14</f>
        <v>3000000</v>
      </c>
      <c r="F14" s="33">
        <f>E14</f>
        <v>3000000</v>
      </c>
      <c r="G14" s="33">
        <f>F14</f>
        <v>3000000</v>
      </c>
    </row>
    <row r="15">
      <c r="A15" s="20" t="inlineStr">
        <is>
          <t>留存收益</t>
        </is>
      </c>
      <c r="B15" s="32" t="n">
        <v>4000000</v>
      </c>
      <c r="C15" s="33">
        <f>B15+利润表!C13</f>
        <v>4149062.5</v>
      </c>
      <c r="D15" s="33">
        <f>C15+利润表!D13</f>
        <v>4280031.25</v>
      </c>
      <c r="E15" s="33">
        <f>D15+利润表!E13</f>
        <v>4427448.4375</v>
      </c>
      <c r="F15" s="33">
        <f>E15+利润表!F13</f>
        <v>4625895.390625</v>
      </c>
      <c r="G15" s="33">
        <f>F15+利润表!G13</f>
        <v>4893119.55859375</v>
      </c>
    </row>
    <row r="16">
      <c r="A16" s="35" t="inlineStr">
        <is>
          <t>总权益</t>
        </is>
      </c>
      <c r="B16" s="37">
        <f>B14+B15</f>
        <v>7000000</v>
      </c>
      <c r="C16" s="37">
        <f>C14+C15</f>
        <v>7149062.5</v>
      </c>
      <c r="D16" s="37">
        <f>D14+D15</f>
        <v>7280031.25</v>
      </c>
      <c r="E16" s="37">
        <f>E14+E15</f>
        <v>7427448.4375</v>
      </c>
      <c r="F16" s="37">
        <f>F14+F15</f>
        <v>7625895.390625</v>
      </c>
      <c r="G16" s="37">
        <f>G14+G15</f>
        <v>7893119.55859375</v>
      </c>
    </row>
    <row r="17">
      <c r="A17" s="35" t="inlineStr">
        <is>
          <t>负债和权益总计</t>
        </is>
      </c>
      <c r="B17" s="37">
        <f>B12+B16</f>
        <v>9050000</v>
      </c>
      <c r="C17" s="37">
        <f>C12+C16</f>
        <v>10701562.5</v>
      </c>
      <c r="D17" s="37">
        <f>D12+D16</f>
        <v>11335156.25</v>
      </c>
      <c r="E17" s="37">
        <f>E12+E16</f>
        <v>10985329.6875</v>
      </c>
      <c r="F17" s="37">
        <f>F12+F16</f>
        <v>9686670.703125</v>
      </c>
      <c r="G17" s="37">
        <f>G12+G16</f>
        <v>8456933.63671875</v>
      </c>
    </row>
    <row r="18">
      <c r="A18" s="39" t="inlineStr">
        <is>
          <t>资产负债率</t>
        </is>
      </c>
      <c r="B18" s="42">
        <f>B12/B8</f>
        <v>0.226519337016575</v>
      </c>
      <c r="C18" s="42">
        <f>C12/C8</f>
        <v>0.331960870200029</v>
      </c>
      <c r="D18" s="42">
        <f>D12/D8</f>
        <v>0.357747604934868</v>
      </c>
      <c r="E18" s="42">
        <f>E12/E8</f>
        <v>0.32387569160063</v>
      </c>
      <c r="F18" s="42">
        <f>F12/F8</f>
        <v>0.212743405413294</v>
      </c>
      <c r="G18" s="42">
        <f>G12/G8</f>
        <v>0.0666688544979238</v>
      </c>
    </row>
    <row r="19">
      <c r="A19" s="29" t="inlineStr">
        <is>
          <t>勾稽校验（应始终显示“平衡”）</t>
        </is>
      </c>
      <c r="B19" s="38" t="n"/>
      <c r="C19" s="38" t="n"/>
      <c r="D19" s="38" t="n"/>
      <c r="E19" s="38" t="n"/>
      <c r="F19" s="38" t="n"/>
      <c r="G19" s="38" t="n"/>
    </row>
    <row r="20">
      <c r="A20" s="39" t="inlineStr">
        <is>
          <t>① 总资产 −（总负债 + 总权益）</t>
        </is>
      </c>
      <c r="B20" s="43">
        <f>B8-B17</f>
        <v>0</v>
      </c>
      <c r="C20" s="43">
        <f>C8-C17</f>
        <v>0</v>
      </c>
      <c r="D20" s="43">
        <f>D8-D17</f>
        <v>0</v>
      </c>
      <c r="E20" s="43">
        <f>E8-E17</f>
        <v>0</v>
      </c>
      <c r="F20" s="43">
        <f>F8-F17</f>
        <v>0</v>
      </c>
      <c r="G20" s="43">
        <f>G8-G17</f>
        <v>0</v>
      </c>
    </row>
    <row r="21">
      <c r="A21" s="39" t="inlineStr">
        <is>
          <t>① 校验结果</t>
        </is>
      </c>
      <c r="B21" s="44" t="str">
        <f>IF(ABS(B20)&lt;0.01,"平衡","不平衡")</f>
        <v>平衡</v>
      </c>
      <c r="C21" s="44" t="str">
        <f>IF(ABS(C20)&lt;0.01,"平衡","不平衡")</f>
        <v>平衡</v>
      </c>
      <c r="D21" s="44" t="str">
        <f>IF(ABS(D20)&lt;0.01,"平衡","不平衡")</f>
        <v>平衡</v>
      </c>
      <c r="E21" s="44" t="str">
        <f>IF(ABS(E20)&lt;0.01,"平衡","不平衡")</f>
        <v>平衡</v>
      </c>
      <c r="F21" s="44" t="str">
        <f>IF(ABS(F20)&lt;0.01,"平衡","不平衡")</f>
        <v>平衡</v>
      </c>
      <c r="G21" s="44" t="str">
        <f>IF(ABS(G20)&lt;0.01,"平衡","不平衡")</f>
        <v>平衡</v>
      </c>
    </row>
    <row r="22">
      <c r="A22" s="39" t="inlineStr">
        <is>
          <t>② 本表现金 − 现金流量表期末现金</t>
        </is>
      </c>
      <c r="B22" s="43">
        <f>B5-现金流量表!B20</f>
        <v>0</v>
      </c>
      <c r="C22" s="43">
        <f>C5-现金流量表!C20</f>
        <v>0</v>
      </c>
      <c r="D22" s="43">
        <f>D5-现金流量表!D20</f>
        <v>0</v>
      </c>
      <c r="E22" s="43">
        <f>E5-现金流量表!E20</f>
        <v>0</v>
      </c>
      <c r="F22" s="43">
        <f>F5-现金流量表!F20</f>
        <v>0</v>
      </c>
      <c r="G22" s="43">
        <f>G5-现金流量表!G20</f>
        <v>0</v>
      </c>
    </row>
    <row r="23">
      <c r="A23" s="39" t="inlineStr">
        <is>
          <t>② 校验结果</t>
        </is>
      </c>
      <c r="B23" s="44" t="str">
        <f>IF(ABS(B22)&lt;0.01,"平衡","不平衡")</f>
        <v>平衡</v>
      </c>
      <c r="C23" s="44" t="str">
        <f>IF(ABS(C22)&lt;0.01,"平衡","不平衡")</f>
        <v>平衡</v>
      </c>
      <c r="D23" s="44" t="str">
        <f>IF(ABS(D22)&lt;0.01,"平衡","不平衡")</f>
        <v>平衡</v>
      </c>
      <c r="E23" s="44" t="str">
        <f>IF(ABS(E22)&lt;0.01,"平衡","不平衡")</f>
        <v>平衡</v>
      </c>
      <c r="F23" s="44" t="str">
        <f>IF(ABS(F22)&lt;0.01,"平衡","不平衡")</f>
        <v>平衡</v>
      </c>
      <c r="G23" s="44" t="str">
        <f>IF(ABS(G22)&lt;0.01,"平衡","不平衡")</f>
        <v>平衡</v>
      </c>
    </row>
  </sheetData>
  <mergeCells count="2">
    <mergeCell ref="A2:G2"/>
    <mergeCell ref="A1:G1"/>
  </mergeCells>
  <pageMargins left="0.35" right="0.35" top="1" bottom="1" header="0.5" footer="0.5"/>
  <pageSetup orientation="landscape" fitToHeight="1" fitToWidth="1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G2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4" customHeight="1">
      <c r="A1" s="1" t="inlineStr">
        <is>
          <t>星链数科 — 现金流量表（Cash Flow Statement）</t>
        </is>
      </c>
    </row>
    <row r="2">
      <c r="A2" s="2" t="inlineStr">
        <is>
          <t>单位：元 | 间接法 | 利息当年全额付现：经营活动加回利息费用，筹资活动列示偿付利息；期末现金 = 期初现金 + 净现金流</t>
        </is>
      </c>
    </row>
    <row r="3">
      <c r="A3" s="29" t="inlineStr">
        <is>
          <t>项目</t>
        </is>
      </c>
      <c r="B3" s="18" t="inlineStr">
        <is>
          <t>2025A</t>
        </is>
      </c>
      <c r="C3" s="18" t="inlineStr">
        <is>
          <t>2026E</t>
        </is>
      </c>
      <c r="D3" s="18" t="inlineStr">
        <is>
          <t>2027E</t>
        </is>
      </c>
      <c r="E3" s="18" t="inlineStr">
        <is>
          <t>2028E</t>
        </is>
      </c>
      <c r="F3" s="18" t="inlineStr">
        <is>
          <t>2029E</t>
        </is>
      </c>
      <c r="G3" s="18" t="inlineStr">
        <is>
          <t>2030E</t>
        </is>
      </c>
    </row>
    <row r="4">
      <c r="A4" s="29" t="inlineStr">
        <is>
          <t>一、经营活动</t>
        </is>
      </c>
      <c r="B4" s="38" t="n"/>
      <c r="C4" s="38" t="n"/>
      <c r="D4" s="38" t="n"/>
      <c r="E4" s="38" t="n"/>
      <c r="F4" s="38" t="n"/>
      <c r="G4" s="38" t="n"/>
    </row>
    <row r="5">
      <c r="A5" s="20" t="inlineStr">
        <is>
          <t>净利润</t>
        </is>
      </c>
      <c r="B5" s="34">
        <f>利润表!B13</f>
        <v>191250</v>
      </c>
      <c r="C5" s="34">
        <f>利润表!C13</f>
        <v>149062.5</v>
      </c>
      <c r="D5" s="34">
        <f>利润表!D13</f>
        <v>130968.75</v>
      </c>
      <c r="E5" s="34">
        <f>利润表!E13</f>
        <v>147417.1875</v>
      </c>
      <c r="F5" s="34">
        <f>利润表!F13</f>
        <v>198446.953125</v>
      </c>
      <c r="G5" s="34">
        <f>利润表!G13</f>
        <v>267224.16796875</v>
      </c>
    </row>
    <row r="6">
      <c r="A6" s="20" t="inlineStr">
        <is>
          <t>加：折旧（非现金费用）</t>
        </is>
      </c>
      <c r="B6" s="34">
        <f>利润表!B8</f>
        <v>100000</v>
      </c>
      <c r="C6" s="34">
        <f>利润表!C8</f>
        <v>97500</v>
      </c>
      <c r="D6" s="34">
        <f>利润表!D8</f>
        <v>97625</v>
      </c>
      <c r="E6" s="34">
        <f>利润表!E8</f>
        <v>97743.75</v>
      </c>
      <c r="F6" s="34">
        <f>利润表!F8</f>
        <v>97856.5625</v>
      </c>
      <c r="G6" s="34">
        <f>利润表!G8</f>
        <v>97963.734375</v>
      </c>
    </row>
    <row r="7">
      <c r="A7" s="20" t="inlineStr">
        <is>
          <t>加：利息费用（付现列入筹资活动）</t>
        </is>
      </c>
      <c r="B7" s="34">
        <f>支持排程!B10</f>
        <v>45000</v>
      </c>
      <c r="C7" s="34">
        <f>支持排程!C10</f>
        <v>123750</v>
      </c>
      <c r="D7" s="34">
        <f>支持排程!D10</f>
        <v>168750</v>
      </c>
      <c r="E7" s="34">
        <f>支持排程!E10</f>
        <v>168750</v>
      </c>
      <c r="F7" s="34">
        <f>支持排程!F10</f>
        <v>123750</v>
      </c>
      <c r="G7" s="34">
        <f>支持排程!G10</f>
        <v>56250</v>
      </c>
    </row>
    <row r="8">
      <c r="A8" s="20" t="inlineStr">
        <is>
          <t>营运资本变动（增加 = 现金占用）</t>
        </is>
      </c>
      <c r="B8" s="32" t="n">
        <v>0</v>
      </c>
      <c r="C8" s="33">
        <f>(资产负债表!C6-资产负债表!B6)-(资产负债表!C10-资产负债表!B10)</f>
        <v>2500</v>
      </c>
      <c r="D8" s="33">
        <f>(资产负债表!D6-资产负债表!C6)-(资产负债表!D10-资产负债表!C10)</f>
        <v>2625</v>
      </c>
      <c r="E8" s="33">
        <f>(资产负债表!E6-资产负债表!D6)-(资产负债表!E10-资产负债表!D10)</f>
        <v>2756.25</v>
      </c>
      <c r="F8" s="33">
        <f>(资产负债表!F6-资产负债表!E6)-(资产负债表!F10-资产负债表!E10)</f>
        <v>2894.0625</v>
      </c>
      <c r="G8" s="33">
        <f>(资产负债表!G6-资产负债表!F6)-(资产负债表!G10-资产负债表!F10)</f>
        <v>3038.765625</v>
      </c>
    </row>
    <row r="9">
      <c r="A9" s="35" t="inlineStr">
        <is>
          <t>经营活动现金流净额</t>
        </is>
      </c>
      <c r="B9" s="37">
        <f>B5+B6+B7-B8</f>
        <v>336250</v>
      </c>
      <c r="C9" s="37">
        <f>C5+C6+C7-C8</f>
        <v>367812.5</v>
      </c>
      <c r="D9" s="37">
        <f>D5+D6+D7-D8</f>
        <v>394718.75</v>
      </c>
      <c r="E9" s="37">
        <f>E5+E6+E7-E8</f>
        <v>411154.6875</v>
      </c>
      <c r="F9" s="37">
        <f>F5+F6+F7-F8</f>
        <v>417159.453125</v>
      </c>
      <c r="G9" s="37">
        <f>G5+G6+G7-G8</f>
        <v>418399.13671875</v>
      </c>
    </row>
    <row r="10">
      <c r="A10" s="29" t="inlineStr">
        <is>
          <t>二、投资活动</t>
        </is>
      </c>
      <c r="B10" s="38" t="n"/>
      <c r="C10" s="38" t="n"/>
      <c r="D10" s="38" t="n"/>
      <c r="E10" s="38" t="n"/>
      <c r="F10" s="38" t="n"/>
      <c r="G10" s="38" t="n"/>
    </row>
    <row r="11">
      <c r="A11" s="20" t="inlineStr">
        <is>
          <t>资本支出</t>
        </is>
      </c>
      <c r="B11" s="32" t="n">
        <v>-100000</v>
      </c>
      <c r="C11" s="33">
        <f>-假设!$C$11</f>
        <v>-100000</v>
      </c>
      <c r="D11" s="33">
        <f>-假设!$C$11</f>
        <v>-100000</v>
      </c>
      <c r="E11" s="33">
        <f>-假设!$C$11</f>
        <v>-100000</v>
      </c>
      <c r="F11" s="33">
        <f>-假设!$C$11</f>
        <v>-100000</v>
      </c>
      <c r="G11" s="33">
        <f>-假设!$C$11</f>
        <v>-100000</v>
      </c>
    </row>
    <row r="12">
      <c r="A12" s="35" t="inlineStr">
        <is>
          <t>投资活动现金流净额</t>
        </is>
      </c>
      <c r="B12" s="37">
        <f>B11</f>
        <v>-100000</v>
      </c>
      <c r="C12" s="37">
        <f>C11</f>
        <v>-100000</v>
      </c>
      <c r="D12" s="37">
        <f>D11</f>
        <v>-100000</v>
      </c>
      <c r="E12" s="37">
        <f>E11</f>
        <v>-100000</v>
      </c>
      <c r="F12" s="37">
        <f>F11</f>
        <v>-100000</v>
      </c>
      <c r="G12" s="37">
        <f>G11</f>
        <v>-100000</v>
      </c>
    </row>
    <row r="13">
      <c r="A13" s="29" t="inlineStr">
        <is>
          <t>三、融资活动</t>
        </is>
      </c>
      <c r="B13" s="38" t="n"/>
      <c r="C13" s="38" t="n"/>
      <c r="D13" s="38" t="n"/>
      <c r="E13" s="38" t="n"/>
      <c r="F13" s="38" t="n"/>
      <c r="G13" s="38" t="n"/>
    </row>
    <row r="14">
      <c r="A14" s="20" t="inlineStr">
        <is>
          <t>新增借款收到的现金</t>
        </is>
      </c>
      <c r="B14" s="32" t="n">
        <v>2000000</v>
      </c>
      <c r="C14" s="34">
        <f>支持排程!C6</f>
        <v>1500000</v>
      </c>
      <c r="D14" s="34">
        <f>支持排程!D6</f>
        <v>1000000</v>
      </c>
      <c r="E14" s="34">
        <f>支持排程!E6</f>
        <v>500000</v>
      </c>
      <c r="F14" s="34">
        <f>支持排程!F6</f>
        <v>0</v>
      </c>
      <c r="G14" s="34">
        <f>支持排程!G6</f>
        <v>0</v>
      </c>
    </row>
    <row r="15">
      <c r="A15" s="20" t="inlineStr">
        <is>
          <t>偿还债务支付的现金</t>
        </is>
      </c>
      <c r="B15" s="32" t="n">
        <v>0</v>
      </c>
      <c r="C15" s="34">
        <f>-支持排程!C7</f>
        <v>0</v>
      </c>
      <c r="D15" s="34">
        <f>-支持排程!D7</f>
        <v>-500000</v>
      </c>
      <c r="E15" s="34">
        <f>-支持排程!E7</f>
        <v>-1000000</v>
      </c>
      <c r="F15" s="34">
        <f>-支持排程!F7</f>
        <v>-1500000</v>
      </c>
      <c r="G15" s="34">
        <f>-支持排程!G7</f>
        <v>-1500000</v>
      </c>
    </row>
    <row r="16">
      <c r="A16" s="20" t="inlineStr">
        <is>
          <t>偿付利息支付的现金</t>
        </is>
      </c>
      <c r="B16" s="34">
        <f>-支持排程!B10</f>
        <v>-45000</v>
      </c>
      <c r="C16" s="34">
        <f>-支持排程!C10</f>
        <v>-123750</v>
      </c>
      <c r="D16" s="34">
        <f>-支持排程!D10</f>
        <v>-168750</v>
      </c>
      <c r="E16" s="34">
        <f>-支持排程!E10</f>
        <v>-168750</v>
      </c>
      <c r="F16" s="34">
        <f>-支持排程!F10</f>
        <v>-123750</v>
      </c>
      <c r="G16" s="34">
        <f>-支持排程!G10</f>
        <v>-56250</v>
      </c>
    </row>
    <row r="17">
      <c r="A17" s="35" t="inlineStr">
        <is>
          <t>融资活动现金流净额</t>
        </is>
      </c>
      <c r="B17" s="37">
        <f>SUM(B14:B16)</f>
        <v>1955000</v>
      </c>
      <c r="C17" s="37">
        <f>SUM(C14:C16)</f>
        <v>1376250</v>
      </c>
      <c r="D17" s="37">
        <f>SUM(D14:D16)</f>
        <v>331250</v>
      </c>
      <c r="E17" s="37">
        <f>SUM(E14:E16)</f>
        <v>-668750</v>
      </c>
      <c r="F17" s="37">
        <f>SUM(F14:F16)</f>
        <v>-1623750</v>
      </c>
      <c r="G17" s="37">
        <f>SUM(G14:G16)</f>
        <v>-1556250</v>
      </c>
    </row>
    <row r="18">
      <c r="A18" s="35" t="inlineStr">
        <is>
          <t>现金及现金等价物净增加额</t>
        </is>
      </c>
      <c r="B18" s="37">
        <f>B9+B12+B17</f>
        <v>2191250</v>
      </c>
      <c r="C18" s="37">
        <f>C9+C12+C17</f>
        <v>1644062.5</v>
      </c>
      <c r="D18" s="37">
        <f>D9+D12+D17</f>
        <v>625968.75</v>
      </c>
      <c r="E18" s="37">
        <f>E9+E12+E17</f>
        <v>-357595.3125</v>
      </c>
      <c r="F18" s="37">
        <f>F9+F12+F17</f>
        <v>-1306590.546875</v>
      </c>
      <c r="G18" s="37">
        <f>G9+G12+G17</f>
        <v>-1237850.86328125</v>
      </c>
    </row>
    <row r="19">
      <c r="A19" s="20" t="inlineStr">
        <is>
          <t>期初现金</t>
        </is>
      </c>
      <c r="B19" s="32" t="n">
        <v>4808750</v>
      </c>
      <c r="C19" s="34">
        <f>资产负债表!B5</f>
        <v>7000000</v>
      </c>
      <c r="D19" s="34">
        <f>资产负债表!C5</f>
        <v>8644062.5</v>
      </c>
      <c r="E19" s="34">
        <f>资产负债表!D5</f>
        <v>9270031.25</v>
      </c>
      <c r="F19" s="34">
        <f>资产负债表!E5</f>
        <v>8912435.9375</v>
      </c>
      <c r="G19" s="34">
        <f>资产负债表!F5</f>
        <v>7605845.390625</v>
      </c>
    </row>
    <row r="20">
      <c r="A20" s="35" t="inlineStr">
        <is>
          <t>期末现金</t>
        </is>
      </c>
      <c r="B20" s="37">
        <f>B19+B18</f>
        <v>7000000</v>
      </c>
      <c r="C20" s="37">
        <f>C19+C18</f>
        <v>8644062.5</v>
      </c>
      <c r="D20" s="37">
        <f>D19+D18</f>
        <v>9270031.25</v>
      </c>
      <c r="E20" s="37">
        <f>E19+E18</f>
        <v>8912435.9375</v>
      </c>
      <c r="F20" s="37">
        <f>F19+F18</f>
        <v>7605845.390625</v>
      </c>
      <c r="G20" s="37">
        <f>G19+G18</f>
        <v>6367994.52734375</v>
      </c>
    </row>
    <row r="21">
      <c r="A21" s="39" t="inlineStr">
        <is>
          <t>补充：自由现金流（经营+投资）</t>
        </is>
      </c>
      <c r="B21" s="45">
        <f>B9+B12</f>
        <v>236250</v>
      </c>
      <c r="C21" s="45">
        <f>C9+C12</f>
        <v>267812.5</v>
      </c>
      <c r="D21" s="45">
        <f>D9+D12</f>
        <v>294718.75</v>
      </c>
      <c r="E21" s="45">
        <f>E9+E12</f>
        <v>311154.6875</v>
      </c>
      <c r="F21" s="45">
        <f>F9+F12</f>
        <v>317159.453125</v>
      </c>
      <c r="G21" s="45">
        <f>G9+G12</f>
        <v>318399.13671875</v>
      </c>
    </row>
    <row r="22">
      <c r="A22" s="39" t="inlineStr">
        <is>
          <t>现金安全线</t>
        </is>
      </c>
      <c r="B22" s="45">
        <f>假设!$C$14</f>
        <v>4000000</v>
      </c>
      <c r="C22" s="45">
        <f>假设!$C$14</f>
        <v>4000000</v>
      </c>
      <c r="D22" s="45">
        <f>假设!$C$14</f>
        <v>4000000</v>
      </c>
      <c r="E22" s="45">
        <f>假设!$C$14</f>
        <v>4000000</v>
      </c>
      <c r="F22" s="45">
        <f>假设!$C$14</f>
        <v>4000000</v>
      </c>
      <c r="G22" s="45">
        <f>假设!$C$14</f>
        <v>4000000</v>
      </c>
    </row>
    <row r="23">
      <c r="A23" s="46" t="inlineStr">
        <is>
          <t>低于安全线标记（1 = 是）</t>
        </is>
      </c>
      <c r="B23" s="47">
        <f>IF(B20&lt;B22,1,0)</f>
        <v>0</v>
      </c>
      <c r="C23" s="47">
        <f>IF(C20&lt;C22,1,0)</f>
        <v>0</v>
      </c>
      <c r="D23" s="47">
        <f>IF(D20&lt;D22,1,0)</f>
        <v>0</v>
      </c>
      <c r="E23" s="47">
        <f>IF(E20&lt;E22,1,0)</f>
        <v>0</v>
      </c>
      <c r="F23" s="47">
        <f>IF(F20&lt;F22,1,0)</f>
        <v>0</v>
      </c>
      <c r="G23" s="47">
        <f>IF(G20&lt;G22,1,0)</f>
        <v>0</v>
      </c>
    </row>
    <row r="24">
      <c r="A24" s="48" t="inlineStr">
        <is>
          <t>注：B7/B8/B14/B15/B19 为基年实际数（蓝色）；2025A 利息按期初（0）与期末（200 万）负债的平均余额计提，融资活动含当年新增借款 200 万元——净利润、筹资现金流与资产负债表现金完整勾稽。营运资本变动 = Δ应收 − Δ应付，正数表示现金被占用（间接法中为减项）。</t>
        </is>
      </c>
    </row>
  </sheetData>
  <mergeCells count="2">
    <mergeCell ref="A2:G2"/>
    <mergeCell ref="A1:G1"/>
  </mergeCells>
  <pageMargins left="0.35" right="0.35" top="1" bottom="1" header="0.5" footer="0.5"/>
  <pageSetup orientation="landscape" fitToHeight="1" fitToWidth="1"/>
</worksheet>
</file>

<file path=xl/worksheets/sheet6.xml><?xml version="1.0" encoding="utf-8"?>
<worksheet xmlns="http://schemas.openxmlformats.org/spreadsheetml/2006/main">
  <sheetPr>
    <tabColor rgb="008EAADB"/>
    <outlinePr summaryBelow="1" summaryRight="1"/>
    <pageSetUpPr fitToPage="1"/>
  </sheetPr>
  <dimension ref="A1:G3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4" customHeight="1">
      <c r="A1" s="1" t="inlineStr">
        <is>
          <t>星链数科 — 支持排程（债务排程 + 固定资产排程）</t>
        </is>
      </c>
    </row>
    <row r="2">
      <c r="A2" s="2" t="inlineStr">
        <is>
          <t>单位：元 | 债务：期末 = 期初 + 新增 − 偿还；利息 = 平均余额 × 利率（假设 A-11） | 固定资产：折旧按期初净值计提，以期初净值为上限</t>
        </is>
      </c>
    </row>
    <row r="3">
      <c r="A3" s="29" t="inlineStr">
        <is>
          <t>项目</t>
        </is>
      </c>
      <c r="B3" s="18" t="inlineStr">
        <is>
          <t>2025A</t>
        </is>
      </c>
      <c r="C3" s="18" t="inlineStr">
        <is>
          <t>2026E</t>
        </is>
      </c>
      <c r="D3" s="18" t="inlineStr">
        <is>
          <t>2027E</t>
        </is>
      </c>
      <c r="E3" s="18" t="inlineStr">
        <is>
          <t>2028E</t>
        </is>
      </c>
      <c r="F3" s="18" t="inlineStr">
        <is>
          <t>2029E</t>
        </is>
      </c>
      <c r="G3" s="18" t="inlineStr">
        <is>
          <t>2030E</t>
        </is>
      </c>
    </row>
    <row r="4">
      <c r="A4" s="29" t="inlineStr">
        <is>
          <t>一、债务排程（有息负债 · 蓝色为融资计划输入）</t>
        </is>
      </c>
      <c r="B4" s="38" t="n"/>
      <c r="C4" s="38" t="n"/>
      <c r="D4" s="38" t="n"/>
      <c r="E4" s="38" t="n"/>
      <c r="F4" s="38" t="n"/>
      <c r="G4" s="38" t="n"/>
    </row>
    <row r="5">
      <c r="A5" s="20" t="inlineStr">
        <is>
          <t>期初有息负债</t>
        </is>
      </c>
      <c r="B5" s="32" t="n">
        <v>0</v>
      </c>
      <c r="C5" s="33">
        <f>B8</f>
        <v>2000000</v>
      </c>
      <c r="D5" s="33">
        <f>C8</f>
        <v>3500000</v>
      </c>
      <c r="E5" s="33">
        <f>D8</f>
        <v>4000000</v>
      </c>
      <c r="F5" s="33">
        <f>E8</f>
        <v>3500000</v>
      </c>
      <c r="G5" s="33">
        <f>F8</f>
        <v>2000000</v>
      </c>
    </row>
    <row r="6">
      <c r="A6" s="20" t="inlineStr">
        <is>
          <t>新增借款（输入）</t>
        </is>
      </c>
      <c r="B6" s="32" t="n">
        <v>2000000</v>
      </c>
      <c r="C6" s="32" t="n">
        <v>1500000</v>
      </c>
      <c r="D6" s="32" t="n">
        <v>1000000</v>
      </c>
      <c r="E6" s="32" t="n">
        <v>500000</v>
      </c>
      <c r="F6" s="32" t="n">
        <v>0</v>
      </c>
      <c r="G6" s="32" t="n">
        <v>0</v>
      </c>
    </row>
    <row r="7">
      <c r="A7" s="20" t="inlineStr">
        <is>
          <t>偿还本金（输入）</t>
        </is>
      </c>
      <c r="B7" s="32" t="n">
        <v>0</v>
      </c>
      <c r="C7" s="32" t="n">
        <v>0</v>
      </c>
      <c r="D7" s="32" t="n">
        <v>500000</v>
      </c>
      <c r="E7" s="32" t="n">
        <v>1000000</v>
      </c>
      <c r="F7" s="32" t="n">
        <v>1500000</v>
      </c>
      <c r="G7" s="32" t="n">
        <v>1500000</v>
      </c>
    </row>
    <row r="8">
      <c r="A8" s="35" t="inlineStr">
        <is>
          <t>期末有息负债</t>
        </is>
      </c>
      <c r="B8" s="37">
        <f>B5+B6-B7</f>
        <v>2000000</v>
      </c>
      <c r="C8" s="37">
        <f>C5+C6-C7</f>
        <v>3500000</v>
      </c>
      <c r="D8" s="37">
        <f>D5+D6-D7</f>
        <v>4000000</v>
      </c>
      <c r="E8" s="37">
        <f>E5+E6-E7</f>
        <v>3500000</v>
      </c>
      <c r="F8" s="37">
        <f>F5+F6-F7</f>
        <v>2000000</v>
      </c>
      <c r="G8" s="37">
        <f>G5+G6-G7</f>
        <v>500000</v>
      </c>
    </row>
    <row r="9">
      <c r="A9" s="20" t="inlineStr">
        <is>
          <t>平均有息负债</t>
        </is>
      </c>
      <c r="B9" s="33">
        <f>(B5+B8)/2</f>
        <v>1000000</v>
      </c>
      <c r="C9" s="33">
        <f>(C5+C8)/2</f>
        <v>2750000</v>
      </c>
      <c r="D9" s="33">
        <f>(D5+D8)/2</f>
        <v>3750000</v>
      </c>
      <c r="E9" s="33">
        <f>(E5+E8)/2</f>
        <v>3750000</v>
      </c>
      <c r="F9" s="33">
        <f>(F5+F8)/2</f>
        <v>2750000</v>
      </c>
      <c r="G9" s="33">
        <f>(G5+G8)/2</f>
        <v>1250000</v>
      </c>
    </row>
    <row r="10">
      <c r="A10" s="35" t="inlineStr">
        <is>
          <t>利息费用（平均余额×年利率）</t>
        </is>
      </c>
      <c r="B10" s="37">
        <f>B9*假设!$C$15</f>
        <v>45000</v>
      </c>
      <c r="C10" s="37">
        <f>C9*假设!$C$15</f>
        <v>123750</v>
      </c>
      <c r="D10" s="37">
        <f>D9*假设!$C$15</f>
        <v>168750</v>
      </c>
      <c r="E10" s="37">
        <f>E9*假设!$C$15</f>
        <v>168750</v>
      </c>
      <c r="F10" s="37">
        <f>F9*假设!$C$15</f>
        <v>123750</v>
      </c>
      <c r="G10" s="37">
        <f>G9*假设!$C$15</f>
        <v>56250</v>
      </c>
    </row>
    <row r="11">
      <c r="A11" s="39" t="inlineStr">
        <is>
          <t>负债余额非负校验</t>
        </is>
      </c>
      <c r="B11" s="47" t="str">
        <f>IF(B8&lt;-0.01,"✗","✓")</f>
        <v>✓</v>
      </c>
      <c r="C11" s="47" t="str">
        <f>IF(C8&lt;-0.01,"✗","✓")</f>
        <v>✓</v>
      </c>
      <c r="D11" s="47" t="str">
        <f>IF(D8&lt;-0.01,"✗","✓")</f>
        <v>✓</v>
      </c>
      <c r="E11" s="47" t="str">
        <f>IF(E8&lt;-0.01,"✗","✓")</f>
        <v>✓</v>
      </c>
      <c r="F11" s="47" t="str">
        <f>IF(F8&lt;-0.01,"✗","✓")</f>
        <v>✓</v>
      </c>
      <c r="G11" s="47" t="str">
        <f>IF(G8&lt;-0.01,"✗","✓")</f>
        <v>✓</v>
      </c>
    </row>
    <row r="13">
      <c r="A13" s="29" t="inlineStr">
        <is>
          <t>二、偿债能力与回报指标（自动计算）</t>
        </is>
      </c>
      <c r="B13" s="38" t="n"/>
      <c r="C13" s="38" t="n"/>
      <c r="D13" s="38" t="n"/>
      <c r="E13" s="38" t="n"/>
      <c r="F13" s="38" t="n"/>
      <c r="G13" s="38" t="n"/>
    </row>
    <row r="14">
      <c r="A14" s="39" t="inlineStr">
        <is>
          <t>资产负债率（含负债）</t>
        </is>
      </c>
      <c r="B14" s="42">
        <f>资产负债表!B12/资产负债表!B8</f>
        <v>0.226519337016575</v>
      </c>
      <c r="C14" s="42">
        <f>资产负债表!C12/资产负债表!C8</f>
        <v>0.331960870200029</v>
      </c>
      <c r="D14" s="42">
        <f>资产负债表!D12/资产负债表!D8</f>
        <v>0.357747604934868</v>
      </c>
      <c r="E14" s="42">
        <f>资产负债表!E12/资产负债表!E8</f>
        <v>0.32387569160063</v>
      </c>
      <c r="F14" s="42">
        <f>资产负债表!F12/资产负债表!F8</f>
        <v>0.212743405413294</v>
      </c>
      <c r="G14" s="42">
        <f>资产负债表!G12/资产负债表!G8</f>
        <v>0.0666688544979238</v>
      </c>
    </row>
    <row r="15">
      <c r="A15" s="39" t="inlineStr">
        <is>
          <t>有息负债 / 总权益</t>
        </is>
      </c>
      <c r="B15" s="42">
        <f>B8/资产负债表!B16</f>
        <v>0.285714285714286</v>
      </c>
      <c r="C15" s="42">
        <f>C8/资产负债表!C16</f>
        <v>0.489574681995017</v>
      </c>
      <c r="D15" s="42">
        <f>D8/资产负债表!D16</f>
        <v>0.549448190898906</v>
      </c>
      <c r="E15" s="42">
        <f>E8/资产负债表!E16</f>
        <v>0.471225082133059</v>
      </c>
      <c r="F15" s="42">
        <f>F8/资产负债表!F16</f>
        <v>0.262264284723697</v>
      </c>
      <c r="G15" s="42">
        <f>G8/资产负债表!G16</f>
        <v>0.0633463101994468</v>
      </c>
    </row>
    <row r="16">
      <c r="A16" s="39" t="inlineStr">
        <is>
          <t>利息保障倍数（EBIT / 利息费用）</t>
        </is>
      </c>
      <c r="B16" s="49">
        <f>IF(B10&gt;0.001,利润表!B9/B10,"n.a.")</f>
        <v>6.66666666666667</v>
      </c>
      <c r="C16" s="49">
        <f>IF(C10&gt;0.001,利润表!C9/C10,"n.a.")</f>
        <v>2.60606060606061</v>
      </c>
      <c r="D16" s="49">
        <f>IF(D10&gt;0.001,利润表!D9/D10,"n.a.")</f>
        <v>2.03481481481481</v>
      </c>
      <c r="E16" s="49">
        <f>IF(E10&gt;0.001,利润表!E9/E10,"n.a.")</f>
        <v>2.16477777777778</v>
      </c>
      <c r="F16" s="49">
        <f>IF(F10&gt;0.001,利润表!F9/F10,"n.a.")</f>
        <v>3.13814898989899</v>
      </c>
      <c r="G16" s="49">
        <f>IF(G10&gt;0.001,利润表!G9/G10,"n.a.")</f>
        <v>7.3342025</v>
      </c>
    </row>
    <row r="17">
      <c r="A17" s="39" t="inlineStr">
        <is>
          <t>ROIC（EBIT×(1−税率) / 投入资本）</t>
        </is>
      </c>
      <c r="B17" s="42">
        <f>利润表!B9*(1-假设!$C$8)/(B8+资产负债表!B16-资产负债表!B5)</f>
        <v>0.1125</v>
      </c>
      <c r="C17" s="42">
        <f>利润表!C9*(1-假设!$C$8)/(C8+资产负债表!C16-资产负债表!C5)</f>
        <v>0.120635910224439</v>
      </c>
      <c r="D17" s="42">
        <f>利润表!D9*(1-假设!$C$8)/(D8+资产负债表!D16-资产负债表!D5)</f>
        <v>0.128125</v>
      </c>
      <c r="E17" s="42">
        <f>利润表!E9*(1-假设!$C$8)/(E8+资产负债表!E16-资产负债表!E5)</f>
        <v>0.13596922475667</v>
      </c>
      <c r="F17" s="42">
        <f>利润表!F9*(1-假设!$C$8)/(F8+资产负债表!F16-资产负债表!F5)</f>
        <v>0.144184279163882</v>
      </c>
      <c r="G17" s="42">
        <f>利润表!G9*(1-假设!$C$8)/(G8+资产负债表!G16-资产负债表!G5)</f>
        <v>0.152786451796394</v>
      </c>
    </row>
    <row r="18">
      <c r="A18" s="29" t="inlineStr">
        <is>
          <t>三、固定资产排程（折旧按净值计提，以期初净值为上限，不会折成负值）</t>
        </is>
      </c>
      <c r="B18" s="38" t="n"/>
      <c r="C18" s="38" t="n"/>
      <c r="D18" s="38" t="n"/>
      <c r="E18" s="38" t="n"/>
      <c r="F18" s="38" t="n"/>
      <c r="G18" s="38" t="n"/>
    </row>
    <row r="19">
      <c r="A19" s="20" t="inlineStr">
        <is>
          <t>期初固定资产原值</t>
        </is>
      </c>
      <c r="B19" s="32" t="n">
        <v>2500000</v>
      </c>
      <c r="C19" s="33">
        <f>B21</f>
        <v>2600000</v>
      </c>
      <c r="D19" s="33">
        <f>C21</f>
        <v>2700000</v>
      </c>
      <c r="E19" s="33">
        <f>D21</f>
        <v>2800000</v>
      </c>
      <c r="F19" s="33">
        <f>E21</f>
        <v>2900000</v>
      </c>
      <c r="G19" s="33">
        <f>F21</f>
        <v>3000000</v>
      </c>
    </row>
    <row r="20">
      <c r="A20" s="20" t="inlineStr">
        <is>
          <t>加：本年资本支出</t>
        </is>
      </c>
      <c r="B20" s="32" t="n">
        <v>100000</v>
      </c>
      <c r="C20" s="33">
        <f>假设!$C$11</f>
        <v>100000</v>
      </c>
      <c r="D20" s="33">
        <f>假设!$C$11</f>
        <v>100000</v>
      </c>
      <c r="E20" s="33">
        <f>假设!$C$11</f>
        <v>100000</v>
      </c>
      <c r="F20" s="33">
        <f>假设!$C$11</f>
        <v>100000</v>
      </c>
      <c r="G20" s="33">
        <f>假设!$C$11</f>
        <v>100000</v>
      </c>
    </row>
    <row r="21">
      <c r="A21" s="20" t="inlineStr">
        <is>
          <t>期末固定资产原值</t>
        </is>
      </c>
      <c r="B21" s="33">
        <f>B19+B20</f>
        <v>2600000</v>
      </c>
      <c r="C21" s="33">
        <f>C19+C20</f>
        <v>2700000</v>
      </c>
      <c r="D21" s="33">
        <f>D19+D20</f>
        <v>2800000</v>
      </c>
      <c r="E21" s="33">
        <f>E19+E20</f>
        <v>2900000</v>
      </c>
      <c r="F21" s="33">
        <f>F19+F20</f>
        <v>3000000</v>
      </c>
      <c r="G21" s="33">
        <f>G19+G20</f>
        <v>3100000</v>
      </c>
    </row>
    <row r="22">
      <c r="A22" s="20" t="inlineStr">
        <is>
          <t>期初固定资产净值</t>
        </is>
      </c>
      <c r="B22" s="32" t="n">
        <v>1950000</v>
      </c>
      <c r="C22" s="33">
        <f>B24</f>
        <v>1950000</v>
      </c>
      <c r="D22" s="33">
        <f>C24</f>
        <v>1952500</v>
      </c>
      <c r="E22" s="33">
        <f>D24</f>
        <v>1954875</v>
      </c>
      <c r="F22" s="33">
        <f>E24</f>
        <v>1957131.25</v>
      </c>
      <c r="G22" s="33">
        <f>F24</f>
        <v>1959274.6875</v>
      </c>
    </row>
    <row r="23">
      <c r="A23" s="20" t="inlineStr">
        <is>
          <t>本年折旧（=MIN(期初净值×折旧率, 期初净值)）</t>
        </is>
      </c>
      <c r="B23" s="32" t="n">
        <v>100000</v>
      </c>
      <c r="C23" s="33">
        <f>MIN(C22*假设!$C$16,C22)</f>
        <v>97500</v>
      </c>
      <c r="D23" s="33">
        <f>MIN(D22*假设!$C$16,D22)</f>
        <v>97625</v>
      </c>
      <c r="E23" s="33">
        <f>MIN(E22*假设!$C$16,E22)</f>
        <v>97743.75</v>
      </c>
      <c r="F23" s="33">
        <f>MIN(F22*假设!$C$16,F22)</f>
        <v>97856.5625</v>
      </c>
      <c r="G23" s="33">
        <f>MIN(G22*假设!$C$16,G22)</f>
        <v>97963.734375</v>
      </c>
    </row>
    <row r="24">
      <c r="A24" s="20" t="inlineStr">
        <is>
          <t>期末固定资产净值</t>
        </is>
      </c>
      <c r="B24" s="33">
        <f>B22+B20-B23</f>
        <v>1950000</v>
      </c>
      <c r="C24" s="33">
        <f>C22+C20-C23</f>
        <v>1952500</v>
      </c>
      <c r="D24" s="33">
        <f>D22+D20-D23</f>
        <v>1954875</v>
      </c>
      <c r="E24" s="33">
        <f>E22+E20-E23</f>
        <v>1957131.25</v>
      </c>
      <c r="F24" s="33">
        <f>F22+F20-F23</f>
        <v>1959274.6875</v>
      </c>
      <c r="G24" s="33">
        <f>G22+G20-G23</f>
        <v>1961310.953125</v>
      </c>
    </row>
    <row r="25">
      <c r="A25" s="39" t="inlineStr">
        <is>
          <t>累计折旧（=期末原值−期末净值）</t>
        </is>
      </c>
      <c r="B25" s="45">
        <f>B21-B24</f>
        <v>650000</v>
      </c>
      <c r="C25" s="45">
        <f>C21-C24</f>
        <v>747500</v>
      </c>
      <c r="D25" s="45">
        <f>D21-D24</f>
        <v>845125</v>
      </c>
      <c r="E25" s="45">
        <f>E21-E24</f>
        <v>942868.75</v>
      </c>
      <c r="F25" s="45">
        <f>F21-F24</f>
        <v>1040725.3125</v>
      </c>
      <c r="G25" s="45">
        <f>G21-G24</f>
        <v>1138689.046875</v>
      </c>
    </row>
    <row r="27">
      <c r="A27" s="25" t="inlineStr">
        <is>
          <t>注1：利息 = 平均有息负债 × 年利率（「假设」页 A-11）——新增借款自放入年起即按平均余额生息；平均余额法下当年新增借款按半年计息（偏乐观），如需更保守可将平均余额改为期末余额；利息全额付现，无应付利息挂账。</t>
        </is>
      </c>
    </row>
    <row r="28">
      <c r="A28" s="25" t="inlineStr">
        <is>
          <t>注2：利息付现列入筹资活动“偿付利息支付的现金”，同时在经营活动加回利息费用，两者对消；净利润已含利息税盾 → 不存在“利息←负债←现金”循环引用。</t>
        </is>
      </c>
    </row>
    <row r="29">
      <c r="A29" s="25" t="inlineStr">
        <is>
          <t>注3：固定资产折旧按期初净值 × 折旧率（A-12）计提，并以期初净值为上限（MIN），期末净值不会为负；资本支出同时计入原值与净值。</t>
        </is>
      </c>
    </row>
    <row r="30">
      <c r="A30" s="25" t="inlineStr">
        <is>
          <t>注4：2026E–2030E 融资计划（蓝色输入）：新增借款合计 300 万、偿还合计 450 万，2030E 末保留 50 万借款余额；改蓝色单元格，利息/偿债指标/三表同步联动。</t>
        </is>
      </c>
    </row>
    <row r="31">
      <c r="A31" s="25" t="inlineStr">
        <is>
          <t>注5：投入资本 = 有息负债 + 总权益 − 现金；ROIC 与 DCF 互为补充——DCF 回答“公司值多少钱”，ROIC 回答“每一块投入资本赚回多少”，两者合看才是完整的资本配置视角。</t>
        </is>
      </c>
    </row>
  </sheetData>
  <mergeCells count="7">
    <mergeCell ref="A1:G1"/>
    <mergeCell ref="A27:G27"/>
    <mergeCell ref="A31:G31"/>
    <mergeCell ref="A30:G30"/>
    <mergeCell ref="A2:G2"/>
    <mergeCell ref="A29:G29"/>
    <mergeCell ref="A28:G28"/>
  </mergeCells>
  <dataValidations count="1">
    <dataValidation sqref="C6:G7" showDropDown="0" showInputMessage="1" showErrorMessage="1" allowBlank="0" errorTitle="输入无效" error="请输入 0–10,000,000 元范围内的金额" promptTitle="融资计划" prompt="当年新增借款 / 偿还本金金额（元）" type="decimal" operator="between">
      <formula1>0</formula1>
      <formula2>10000000</formula2>
    </dataValidation>
  </dataValidations>
  <pageMargins left="0.35" right="0.35" top="1" bottom="1" header="0.5" footer="0.5"/>
  <pageSetup orientation="landscape" fitToHeight="1" fitToWidth="1"/>
</worksheet>
</file>

<file path=xl/worksheets/sheet7.xml><?xml version="1.0" encoding="utf-8"?>
<worksheet xmlns="http://schemas.openxmlformats.org/spreadsheetml/2006/main">
  <sheetPr>
    <tabColor rgb="008EAADB"/>
    <outlinePr summaryBelow="1" summaryRight="1"/>
    <pageSetUpPr fitToPage="1"/>
  </sheetPr>
  <dimension ref="A1:G8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4" customHeight="1">
      <c r="A1" s="1" t="inlineStr">
        <is>
          <t>星链数科 — 图表（随「假设」页情景自动更新）</t>
        </is>
      </c>
    </row>
    <row r="2">
      <c r="A2" s="2" t="inlineStr">
        <is>
          <t>图1：收入与净利润｜图2：经营现金流与期末现金｜图3：现金跑道（期末现金 vs 安全线）｜图4：有息负债余额与利息费用</t>
        </is>
      </c>
    </row>
    <row r="82">
      <c r="A82" s="48" t="inlineStr">
        <is>
          <t>注：图3 中红线 = 现金安全线（「假设」页 A-10）；若期末现金折线跌破红线，说明需提前规划融资。图4 展示债务排程：借款高峰后逐年偿还，利息费用随平均余额同步回落。</t>
        </is>
      </c>
    </row>
  </sheetData>
  <mergeCells count="2">
    <mergeCell ref="A2:G2"/>
    <mergeCell ref="A1:G1"/>
  </mergeCells>
  <pageMargins left="0.35" right="0.35" top="1" bottom="1" header="0.5" footer="0.5"/>
  <pageSetup orientation="landscape" fitToHeight="0" fitToWidth="1"/>
  <rowBreaks count="3" manualBreakCount="3">
    <brk id="21" min="0" max="16383" man="1"/>
    <brk id="40" min="0" max="16383" man="1"/>
    <brk id="61" min="0" max="16383" man="1"/>
  </rowBreaks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G90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4" customHeight="1">
      <c r="A1" s="1" t="inlineStr">
        <is>
          <t>星链数科 — 估值与敏感性分析</t>
        </is>
      </c>
    </row>
    <row r="2">
      <c r="A2" s="2" t="inlineStr">
        <is>
          <t>单位：元 | 估值使用假设面板折现率；无杠杆自由现金流口径；敏感性为解析解，并与模型实时勾稽校验</t>
        </is>
      </c>
    </row>
    <row r="4">
      <c r="A4" s="29" t="inlineStr">
        <is>
          <t>一、简化 DCF 估值（无杠杆自由现金流）</t>
        </is>
      </c>
      <c r="B4" s="38" t="n"/>
      <c r="C4" s="38" t="n"/>
      <c r="D4" s="38" t="n"/>
      <c r="E4" s="38" t="n"/>
      <c r="F4" s="38" t="n"/>
      <c r="G4" s="38" t="n"/>
    </row>
    <row r="5">
      <c r="A5" s="29" t="inlineStr">
        <is>
          <t>项目</t>
        </is>
      </c>
      <c r="B5" s="18" t="inlineStr">
        <is>
          <t>2025A</t>
        </is>
      </c>
      <c r="C5" s="18" t="inlineStr">
        <is>
          <t>2026E</t>
        </is>
      </c>
      <c r="D5" s="18" t="inlineStr">
        <is>
          <t>2027E</t>
        </is>
      </c>
      <c r="E5" s="18" t="inlineStr">
        <is>
          <t>2028E</t>
        </is>
      </c>
      <c r="F5" s="18" t="inlineStr">
        <is>
          <t>2029E</t>
        </is>
      </c>
      <c r="G5" s="18" t="inlineStr">
        <is>
          <t>2030E</t>
        </is>
      </c>
    </row>
    <row r="6">
      <c r="A6" s="20" t="inlineStr">
        <is>
          <t>自由现金流（经营+投资−利息税盾）</t>
        </is>
      </c>
      <c r="B6" s="19" t="inlineStr">
        <is>
          <t>—</t>
        </is>
      </c>
      <c r="C6" s="33">
        <f>现金流量表!C9+现金流量表!C12-支持排程!C10*假设!$C$8</f>
        <v>236875</v>
      </c>
      <c r="D6" s="33">
        <f>现金流量表!D9+现金流量表!D12-支持排程!D10*假设!$C$8</f>
        <v>252531.25</v>
      </c>
      <c r="E6" s="33">
        <f>现金流量表!E9+现金流量表!E12-支持排程!E10*假设!$C$8</f>
        <v>268967.1875</v>
      </c>
      <c r="F6" s="33">
        <f>现金流量表!F9+现金流量表!F12-支持排程!F10*假设!$C$8</f>
        <v>286221.953125</v>
      </c>
      <c r="G6" s="33">
        <f>现金流量表!G9+现金流量表!G12-支持排程!G10*假设!$C$8</f>
        <v>304336.63671875</v>
      </c>
    </row>
    <row r="7">
      <c r="A7" s="20" t="inlineStr">
        <is>
          <t>折现因子</t>
        </is>
      </c>
      <c r="B7" s="19" t="inlineStr">
        <is>
          <t>—</t>
        </is>
      </c>
      <c r="C7" s="50">
        <f>1/(1+假设!$C$9)^1</f>
        <v>0.909090909090909</v>
      </c>
      <c r="D7" s="50">
        <f>1/(1+假设!$C$9)^2</f>
        <v>0.826446280991735</v>
      </c>
      <c r="E7" s="50">
        <f>1/(1+假设!$C$9)^3</f>
        <v>0.751314800901578</v>
      </c>
      <c r="F7" s="50">
        <f>1/(1+假设!$C$9)^4</f>
        <v>0.683013455365071</v>
      </c>
      <c r="G7" s="50">
        <f>1/(1+假设!$C$9)^5</f>
        <v>0.620921323059155</v>
      </c>
    </row>
    <row r="8">
      <c r="A8" s="20" t="inlineStr">
        <is>
          <t>现金流现值</t>
        </is>
      </c>
      <c r="B8" s="19" t="inlineStr">
        <is>
          <t>—</t>
        </is>
      </c>
      <c r="C8" s="33">
        <f>C6*C7</f>
        <v>215340.909090909</v>
      </c>
      <c r="D8" s="33">
        <f>D6*D7</f>
        <v>208703.512396694</v>
      </c>
      <c r="E8" s="33">
        <f>E6*E7</f>
        <v>202079.02892562</v>
      </c>
      <c r="F8" s="33">
        <f>F6*F7</f>
        <v>195493.445205246</v>
      </c>
      <c r="G8" s="33">
        <f>G6*G7</f>
        <v>188969.10712678</v>
      </c>
    </row>
    <row r="10">
      <c r="A10" s="20" t="inlineStr">
        <is>
          <t>预测期现值合计（2026E–2030E）</t>
        </is>
      </c>
      <c r="C10" s="33">
        <f>SUM(C8:G8)</f>
        <v>1010586.00274525</v>
      </c>
    </row>
    <row r="11">
      <c r="A11" s="20" t="inlineStr">
        <is>
          <t>终值（永续增长法，g = 收入增长率）</t>
        </is>
      </c>
      <c r="C11" s="51">
        <f>IF(假设!$C$9&lt;=假设!$C$5,"n.a.（折现率≤增长率）",G6*(1+假设!$C$5)/(假设!$C$9-假设!$C$5))</f>
        <v>6391069.37109375</v>
      </c>
    </row>
    <row r="12">
      <c r="A12" s="20" t="inlineStr">
        <is>
          <t>终值现值</t>
        </is>
      </c>
      <c r="C12" s="33">
        <f>IF(ISNUMBER($C$11),$G$7*$C$11,0)</f>
        <v>3968351.24966237</v>
      </c>
    </row>
    <row r="13">
      <c r="A13" s="52" t="inlineStr">
        <is>
          <t>企业价值（经营价值）</t>
        </is>
      </c>
      <c r="C13" s="36">
        <f>$C$10+$C$12</f>
        <v>4978937.25240762</v>
      </c>
    </row>
    <row r="14">
      <c r="A14" s="20" t="inlineStr">
        <is>
          <t>加：基年净现金（现金 − 有息负债）</t>
        </is>
      </c>
      <c r="C14" s="33">
        <f>资产负债表!$B$5-支持排程!$B$8</f>
        <v>5000000</v>
      </c>
    </row>
    <row r="15">
      <c r="A15" s="35" t="inlineStr">
        <is>
          <t>股权价值（简化）</t>
        </is>
      </c>
      <c r="C15" s="37">
        <f>$C$13+$C$14</f>
        <v>9978937.25240762</v>
      </c>
    </row>
    <row r="16">
      <c r="A16" s="48" t="inlineStr">
        <is>
          <t>注：FCF 剔除利息税盾后为无杠杆口径（经营 + 投资 − 利息费用×税率）；终值假设 5 年后永续增长率 = 当前收入增长率（Base 5%）——对成熟期公司建议将终值增长率下调至 2%–3%，本模型为简化处理；2025A 末有息负债 200 万元，股权价值 = 企业价值 + 基年现金 − 有息负债。估值仅供参考。</t>
        </is>
      </c>
    </row>
    <row r="18">
      <c r="A18" s="29" t="inlineStr">
        <is>
          <t>二、敏感性分析①：5 年累计净利润（2026E–2030E，元）</t>
        </is>
      </c>
      <c r="B18" s="38" t="n"/>
      <c r="C18" s="38" t="n"/>
      <c r="D18" s="38" t="n"/>
      <c r="E18" s="38" t="n"/>
      <c r="F18" s="38" t="n"/>
      <c r="G18" s="38" t="n"/>
    </row>
    <row r="19">
      <c r="A19" s="48" t="inlineStr">
        <is>
          <t>行 = 收入增长率，列 = 毛利率；蓝色行列头带数据验证，可修改后自动重算。</t>
        </is>
      </c>
    </row>
    <row r="20">
      <c r="A20" s="18" t="inlineStr">
        <is>
          <t>增长率＼毛利率</t>
        </is>
      </c>
      <c r="B20" s="53" t="n">
        <v>0.5</v>
      </c>
      <c r="C20" s="53" t="n">
        <v>0.55</v>
      </c>
      <c r="D20" s="53" t="n">
        <v>0.6</v>
      </c>
      <c r="E20" s="53" t="n">
        <v>0.65</v>
      </c>
      <c r="F20" s="53" t="n">
        <v>0.7</v>
      </c>
    </row>
    <row r="21">
      <c r="A21" s="53" t="n">
        <v>0.03</v>
      </c>
      <c r="B21" s="33">
        <f>(1-假设!$C$8)*((B$20*利润表!$B$5-假设!$C$7*假设!$C$10)*IF($A21=0,5,(1+$A21)*((1+$A21)^5-1)/$A21)-SUM(支持排程!$C$23:$G$23)-SUM(支持排程!$C$10:$G$10))</f>
        <v>382937.938811251</v>
      </c>
      <c r="C21" s="33">
        <f>(1-假设!$C$8)*((C$20*利润表!$B$5-假设!$C$7*假设!$C$10)*IF($A21=0,5,(1+$A21)*((1+$A21)^5-1)/$A21)-SUM(支持排程!$C$23:$G$23)-SUM(支持排程!$C$10:$G$10))</f>
        <v>588003.309472501</v>
      </c>
      <c r="D21" s="33">
        <f>(1-假设!$C$8)*((D$20*利润表!$B$5-假设!$C$7*假设!$C$10)*IF($A21=0,5,(1+$A21)*((1+$A21)^5-1)/$A21)-SUM(支持排程!$C$23:$G$23)-SUM(支持排程!$C$10:$G$10))</f>
        <v>793068.680133751</v>
      </c>
      <c r="E21" s="33">
        <f>(1-假设!$C$8)*((E$20*利润表!$B$5-假设!$C$7*假设!$C$10)*IF($A21=0,5,(1+$A21)*((1+$A21)^5-1)/$A21)-SUM(支持排程!$C$23:$G$23)-SUM(支持排程!$C$10:$G$10))</f>
        <v>998134.050795001</v>
      </c>
      <c r="F21" s="33">
        <f>(1-假设!$C$8)*((F$20*利润表!$B$5-假设!$C$7*假设!$C$10)*IF($A21=0,5,(1+$A21)*((1+$A21)^5-1)/$A21)-SUM(支持排程!$C$23:$G$23)-SUM(支持排程!$C$10:$G$10))</f>
        <v>1203199.42145625</v>
      </c>
    </row>
    <row r="22">
      <c r="A22" s="53" t="n">
        <v>0.05</v>
      </c>
      <c r="B22" s="33">
        <f>(1-假设!$C$8)*((B$20*利润表!$B$5-假设!$C$7*假设!$C$10)*IF($A22=0,5,(1+$A22)*((1+$A22)^5-1)/$A22)-SUM(支持排程!$C$23:$G$23)-SUM(支持排程!$C$10:$G$10))</f>
        <v>457976.097656252</v>
      </c>
      <c r="C22" s="33">
        <f>(1-假设!$C$8)*((C$20*利润表!$B$5-假设!$C$7*假设!$C$10)*IF($A22=0,5,(1+$A22)*((1+$A22)^5-1)/$A22)-SUM(支持排程!$C$23:$G$23)-SUM(支持排程!$C$10:$G$10))</f>
        <v>675547.828125002</v>
      </c>
      <c r="D22" s="33">
        <f>(1-假设!$C$8)*((D$20*利润表!$B$5-假设!$C$7*假设!$C$10)*IF($A22=0,5,(1+$A22)*((1+$A22)^5-1)/$A22)-SUM(支持排程!$C$23:$G$23)-SUM(支持排程!$C$10:$G$10))</f>
        <v>893119.558593752</v>
      </c>
      <c r="E22" s="33">
        <f>(1-假设!$C$8)*((E$20*利润表!$B$5-假设!$C$7*假设!$C$10)*IF($A22=0,5,(1+$A22)*((1+$A22)^5-1)/$A22)-SUM(支持排程!$C$23:$G$23)-SUM(支持排程!$C$10:$G$10))</f>
        <v>1110691.2890625</v>
      </c>
      <c r="F22" s="33">
        <f>(1-假设!$C$8)*((F$20*利润表!$B$5-假设!$C$7*假设!$C$10)*IF($A22=0,5,(1+$A22)*((1+$A22)^5-1)/$A22)-SUM(支持排程!$C$23:$G$23)-SUM(支持排程!$C$10:$G$10))</f>
        <v>1328263.01953125</v>
      </c>
    </row>
    <row r="23">
      <c r="A23" s="53" t="n">
        <v>0.08</v>
      </c>
      <c r="B23" s="33">
        <f>(1-假设!$C$8)*((B$20*利润表!$B$5-假设!$C$7*假设!$C$10)*IF($A23=0,5,(1+$A23)*((1+$A23)^5-1)/$A23)-SUM(支持排程!$C$23:$G$23)-SUM(支持排程!$C$10:$G$10))</f>
        <v>578129.748123752</v>
      </c>
      <c r="C23" s="33">
        <f>(1-假设!$C$8)*((C$20*利润表!$B$5-假设!$C$7*假设!$C$10)*IF($A23=0,5,(1+$A23)*((1+$A23)^5-1)/$A23)-SUM(支持排程!$C$23:$G$23)-SUM(支持排程!$C$10:$G$10))</f>
        <v>815727.087003752</v>
      </c>
      <c r="D23" s="33">
        <f>(1-假设!$C$8)*((D$20*利润表!$B$5-假设!$C$7*假设!$C$10)*IF($A23=0,5,(1+$A23)*((1+$A23)^5-1)/$A23)-SUM(支持排程!$C$23:$G$23)-SUM(支持排程!$C$10:$G$10))</f>
        <v>1053324.42588375</v>
      </c>
      <c r="E23" s="33">
        <f>(1-假设!$C$8)*((E$20*利润表!$B$5-假设!$C$7*假设!$C$10)*IF($A23=0,5,(1+$A23)*((1+$A23)^5-1)/$A23)-SUM(支持排程!$C$23:$G$23)-SUM(支持排程!$C$10:$G$10))</f>
        <v>1290921.76476375</v>
      </c>
      <c r="F23" s="33">
        <f>(1-假设!$C$8)*((F$20*利润表!$B$5-假设!$C$7*假设!$C$10)*IF($A23=0,5,(1+$A23)*((1+$A23)^5-1)/$A23)-SUM(支持排程!$C$23:$G$23)-SUM(支持排程!$C$10:$G$10))</f>
        <v>1528519.10364375</v>
      </c>
    </row>
    <row r="24">
      <c r="A24" s="53" t="n">
        <v>0.1</v>
      </c>
      <c r="B24" s="33">
        <f>(1-假设!$C$8)*((B$20*利润表!$B$5-假设!$C$7*假设!$C$10)*IF($A24=0,5,(1+$A24)*((1+$A24)^5-1)/$A24)-SUM(支持排程!$C$23:$G$23)-SUM(支持排程!$C$10:$G$10))</f>
        <v>663557.964843751</v>
      </c>
      <c r="C24" s="33">
        <f>(1-假设!$C$8)*((C$20*利润表!$B$5-假设!$C$7*假设!$C$10)*IF($A24=0,5,(1+$A24)*((1+$A24)^5-1)/$A24)-SUM(支持排程!$C$23:$G$23)-SUM(支持排程!$C$10:$G$10))</f>
        <v>915393.339843752</v>
      </c>
      <c r="D24" s="33">
        <f>(1-假设!$C$8)*((D$20*利润表!$B$5-假设!$C$7*假设!$C$10)*IF($A24=0,5,(1+$A24)*((1+$A24)^5-1)/$A24)-SUM(支持排程!$C$23:$G$23)-SUM(支持排程!$C$10:$G$10))</f>
        <v>1167228.71484375</v>
      </c>
      <c r="E24" s="33">
        <f>(1-假设!$C$8)*((E$20*利润表!$B$5-假设!$C$7*假设!$C$10)*IF($A24=0,5,(1+$A24)*((1+$A24)^5-1)/$A24)-SUM(支持排程!$C$23:$G$23)-SUM(支持排程!$C$10:$G$10))</f>
        <v>1419064.08984375</v>
      </c>
      <c r="F24" s="33">
        <f>(1-假设!$C$8)*((F$20*利润表!$B$5-假设!$C$7*假设!$C$10)*IF($A24=0,5,(1+$A24)*((1+$A24)^5-1)/$A24)-SUM(支持排程!$C$23:$G$23)-SUM(支持排程!$C$10:$G$10))</f>
        <v>1670899.46484375</v>
      </c>
    </row>
    <row r="25">
      <c r="A25" s="53" t="n">
        <v>0.15</v>
      </c>
      <c r="B25" s="33">
        <f>(1-假设!$C$8)*((B$20*利润表!$B$5-假设!$C$7*假设!$C$10)*IF($A25=0,5,(1+$A25)*((1+$A25)^5-1)/$A25)-SUM(支持排程!$C$23:$G$23)-SUM(支持排程!$C$10:$G$10))</f>
        <v>897136.863281249</v>
      </c>
      <c r="C25" s="33">
        <f>(1-假设!$C$8)*((C$20*利润表!$B$5-假设!$C$7*假设!$C$10)*IF($A25=0,5,(1+$A25)*((1+$A25)^5-1)/$A25)-SUM(支持排程!$C$23:$G$23)-SUM(支持排程!$C$10:$G$10))</f>
        <v>1187902.0546875</v>
      </c>
      <c r="D25" s="33">
        <f>(1-假设!$C$8)*((D$20*利润表!$B$5-假设!$C$7*假设!$C$10)*IF($A25=0,5,(1+$A25)*((1+$A25)^5-1)/$A25)-SUM(支持排程!$C$23:$G$23)-SUM(支持排程!$C$10:$G$10))</f>
        <v>1478667.24609375</v>
      </c>
      <c r="E25" s="33">
        <f>(1-假设!$C$8)*((E$20*利润表!$B$5-假设!$C$7*假设!$C$10)*IF($A25=0,5,(1+$A25)*((1+$A25)^5-1)/$A25)-SUM(支持排程!$C$23:$G$23)-SUM(支持排程!$C$10:$G$10))</f>
        <v>1769432.4375</v>
      </c>
      <c r="F25" s="33">
        <f>(1-假设!$C$8)*((F$20*利润表!$B$5-假设!$C$7*假设!$C$10)*IF($A25=0,5,(1+$A25)*((1+$A25)^5-1)/$A25)-SUM(支持排程!$C$23:$G$23)-SUM(支持排程!$C$10:$G$10))</f>
        <v>2060197.62890625</v>
      </c>
    </row>
    <row r="26">
      <c r="A26" s="39" t="inlineStr">
        <is>
          <t>勾稽校验（当前情景）</t>
        </is>
      </c>
      <c r="B26" s="35" t="str">
        <f>IF(IFERROR(ABS(INDEX($B$21:$F$25,MATCH(假设!$C$5,$A$21:$A$25,0),MATCH(假设!$C$6,$B$20:$F$20,0))-SUM(利润表!$C$13:$G$13)),1)&lt;1,"✓ 与利润表 5 年净利润合计勾稽一致","✗ 与模型不一致（或当前情景不在表中）")</f>
        <v>✓ 与利润表 5 年净利润合计勾稽一致</v>
      </c>
    </row>
    <row r="27">
      <c r="A27" s="48" t="inlineStr">
        <is>
          <t>注：解析解假设各年税前利润为正；5 年折旧与 5 年利息直接取自「支持排程」当期计划（与增长率、毛利率无关）。本表隐含 CapEx 与融资计划不随增长率变化（折旧、利息为固定值）、ARPU 稳定（客户数增速 = 收入增速）；若高增长需要额外 CapEx / 融资，实际利润增幅会低于本表。</t>
        </is>
      </c>
    </row>
    <row r="29">
      <c r="A29" s="29" t="inlineStr">
        <is>
          <t>三、敏感性分析②：2030E 期末现金（元）</t>
        </is>
      </c>
      <c r="B29" s="38" t="n"/>
      <c r="C29" s="38" t="n"/>
      <c r="D29" s="38" t="n"/>
      <c r="E29" s="38" t="n"/>
      <c r="F29" s="38" t="n"/>
      <c r="G29" s="38" t="n"/>
    </row>
    <row r="30">
      <c r="A30" s="48" t="inlineStr">
        <is>
          <t>行 = 收入增长率；蓝色行头带数据验证，可修改后自动重算。</t>
        </is>
      </c>
    </row>
    <row r="31">
      <c r="A31" s="18" t="inlineStr">
        <is>
          <t>收入增长率</t>
        </is>
      </c>
      <c r="B31" s="18" t="inlineStr">
        <is>
          <t>2030E 期末现金</t>
        </is>
      </c>
    </row>
    <row r="32">
      <c r="A32" s="53" t="n">
        <v>0.03</v>
      </c>
      <c r="B32" s="33">
        <f>资产负债表!$B$5+(1-假设!$C$8)*((假设!$C$6*利润表!$B$5-假设!$C$7*假设!$C$10)*IF($A32=0,5,(1+$A32)*((1+$A32)^5-1)/$A32)-SUM(支持排程!$C$23:$G$23)-SUM(支持排程!$C$10:$G$10))+SUM(支持排程!$C$23:$G$23)-(假设!$C$12-假设!$C$13)*利润表!$B$5*(1+$A32)^5+(资产负债表!$B$6-资产负债表!$B$10)-SUM(支持排程!$C$20:$G$20)+SUM(支持排程!$C$6:$G$6)-SUM(支持排程!$C$7:$G$7)</f>
        <v>6273794.02329375</v>
      </c>
    </row>
    <row r="33">
      <c r="A33" s="53" t="n">
        <v>0.05</v>
      </c>
      <c r="B33" s="33">
        <f>资产负债表!$B$5+(1-假设!$C$8)*((假设!$C$6*利润表!$B$5-假设!$C$7*假设!$C$10)*IF($A33=0,5,(1+$A33)*((1+$A33)^5-1)/$A33)-SUM(支持排程!$C$23:$G$23)-SUM(支持排程!$C$10:$G$10))+SUM(支持排程!$C$23:$G$23)-(假设!$C$12-假设!$C$13)*利润表!$B$5*(1+$A33)^5+(资产负债表!$B$6-资产负债表!$B$10)-SUM(支持排程!$C$20:$G$20)+SUM(支持排程!$C$6:$G$6)-SUM(支持排程!$C$7:$G$7)</f>
        <v>6367994.52734375</v>
      </c>
    </row>
    <row r="34">
      <c r="A34" s="53" t="n">
        <v>0.08</v>
      </c>
      <c r="B34" s="33">
        <f>资产负债表!$B$5+(1-假设!$C$8)*((假设!$C$6*利润表!$B$5-假设!$C$7*假设!$C$10)*IF($A34=0,5,(1+$A34)*((1+$A34)^5-1)/$A34)-SUM(支持排程!$C$23:$G$23)-SUM(支持排程!$C$10:$G$10))+SUM(支持排程!$C$23:$G$23)-(假设!$C$12-假设!$C$13)*利润表!$B$5*(1+$A34)^5+(资产负债表!$B$6-资产负债表!$B$10)-SUM(支持排程!$C$20:$G$20)+SUM(支持排程!$C$6:$G$6)-SUM(支持排程!$C$7:$G$7)</f>
        <v>6518547.06891875</v>
      </c>
    </row>
    <row r="35">
      <c r="A35" s="53" t="n">
        <v>0.1</v>
      </c>
      <c r="B35" s="33">
        <f>资产负债表!$B$5+(1-假设!$C$8)*((假设!$C$6*利润表!$B$5-假设!$C$7*假设!$C$10)*IF($A35=0,5,(1+$A35)*((1+$A35)^5-1)/$A35)-SUM(支持排程!$C$23:$G$23)-SUM(支持排程!$C$10:$G$10))+SUM(支持排程!$C$23:$G$23)-(假设!$C$12-假设!$C$13)*利润表!$B$5*(1+$A35)^5+(资产负债表!$B$6-资产负债表!$B$10)-SUM(支持排程!$C$20:$G$20)+SUM(支持排程!$C$6:$G$6)-SUM(支持排程!$C$7:$G$7)</f>
        <v>6625392.26171875</v>
      </c>
    </row>
    <row r="36">
      <c r="A36" s="53" t="n">
        <v>0.15</v>
      </c>
      <c r="B36" s="33">
        <f>资产负债表!$B$5+(1-假设!$C$8)*((假设!$C$6*利润表!$B$5-假设!$C$7*假设!$C$10)*IF($A36=0,5,(1+$A36)*((1+$A36)^5-1)/$A36)-SUM(支持排程!$C$23:$G$23)-SUM(支持排程!$C$10:$G$10))+SUM(支持排程!$C$23:$G$23)-(假设!$C$12-假设!$C$13)*利润表!$B$5*(1+$A36)^5+(资产负债表!$B$6-资产负债表!$B$10)-SUM(支持排程!$C$20:$G$20)+SUM(支持排程!$C$6:$G$6)-SUM(支持排程!$C$7:$G$7)</f>
        <v>6916788.43359375</v>
      </c>
    </row>
    <row r="37">
      <c r="A37" s="39" t="inlineStr">
        <is>
          <t>勾稽校验（当前情景）</t>
        </is>
      </c>
      <c r="B37" s="35" t="str">
        <f>IF(IFERROR(ABS(INDEX($B$32:$B$36,MATCH(假设!$C$5,$A$32:$A$36,0))-资产负债表!$G$5),1)&lt;1,"✓ 与资产负债表 2030E 现金勾稽一致","✗ 与模型不一致（或当前情景不在表中）")</f>
        <v>✓ 与资产负债表 2030E 现金勾稽一致</v>
      </c>
    </row>
    <row r="38">
      <c r="A38" s="48" t="inlineStr">
        <is>
          <t>注：期末现金 = 基年现金 + 5 年累计净利润 + 5 年折旧 − 营运资本累计变动 − 5 年资本支出 + 5 年新增借款 − 5 年偿还本金（利息影响已含在净利润，经营加回与筹资付现对消）。</t>
        </is>
      </c>
    </row>
    <row r="40">
      <c r="A40" s="29" t="inlineStr">
        <is>
          <t>四、边际敏感度：收入增长率每 ±1 个百分点的影响</t>
        </is>
      </c>
      <c r="B40" s="38" t="n"/>
      <c r="C40" s="38" t="n"/>
      <c r="D40" s="38" t="n"/>
      <c r="E40" s="38" t="n"/>
      <c r="F40" s="38" t="n"/>
      <c r="G40" s="38" t="n"/>
    </row>
    <row r="41">
      <c r="A41" s="39" t="inlineStr">
        <is>
          <t>当前增长率 g</t>
        </is>
      </c>
      <c r="C41" s="54">
        <f>假设!$C$5</f>
        <v>0.05</v>
      </c>
    </row>
    <row r="42">
      <c r="A42" s="39" t="inlineStr">
        <is>
          <t>g + 1pp</t>
        </is>
      </c>
      <c r="C42" s="55">
        <f>C41+0.01</f>
        <v>0.06</v>
      </c>
    </row>
    <row r="43">
      <c r="A43" s="12" t="inlineStr">
        <is>
          <t>当前 g 的 5 年累计净利润（元）</t>
        </is>
      </c>
      <c r="C43" s="33">
        <f>(1-假设!$C$8)*((假设!$C$6*利润表!$B$5-假设!$C$7*假设!$C$10)*IF($C$41=0,5,(1+$C$41)*((1+$C$41)^5-1)/$C$41)-SUM(支持排程!$C$23:$G$23)-SUM(支持排程!$C$10:$G$10))</f>
        <v>893119.558593752</v>
      </c>
    </row>
    <row r="44">
      <c r="A44" s="12" t="inlineStr">
        <is>
          <t>g + 1pp 的 5 年累计净利润（元）</t>
        </is>
      </c>
      <c r="C44" s="33">
        <f>(1-假设!$C$8)*((假设!$C$6*利润表!$B$5-假设!$C$7*假设!$C$10)*IF($C$42=0,5,(1+$C$42)*((1+$C$42)^5-1)/$C$42)-SUM(支持排程!$C$23:$G$23)-SUM(支持排程!$C$10:$G$10))</f>
        <v>945141.276123751</v>
      </c>
    </row>
    <row r="45">
      <c r="A45" s="52" t="inlineStr">
        <is>
          <t>边际影响（万元 / 每 1pp）</t>
        </is>
      </c>
      <c r="C45" s="56">
        <f>(C44-C43)/10000</f>
        <v>5.20217175299992</v>
      </c>
    </row>
    <row r="46">
      <c r="A46" s="48" t="inlineStr">
        <is>
          <t>注：边际影响为当前增长率附近的局部近似（5 年累计净利润对增长率为非线性、指数增长）；非线性效应见上方敏感性表。</t>
        </is>
      </c>
    </row>
    <row r="48">
      <c r="A48" s="29" t="inlineStr">
        <is>
          <t>五、敏感性分析③：5 年累计利息费用（元）——利率 × 融资规模</t>
        </is>
      </c>
      <c r="B48" s="38" t="n"/>
      <c r="C48" s="38" t="n"/>
      <c r="D48" s="38" t="n"/>
      <c r="E48" s="38" t="n"/>
      <c r="F48" s="38" t="n"/>
      <c r="G48" s="38" t="n"/>
    </row>
    <row r="49">
      <c r="A49" s="48" t="inlineStr">
        <is>
          <t>行 = 借款年利率，列 = 融资计划规模倍数（1.0 = 当前计划）；利息 = 利率 × Σ平均余额，Σ平均余额 = 5 × 期初余额 + 规模 × Σ净融资×(5.5−年份序号)。</t>
        </is>
      </c>
    </row>
    <row r="50">
      <c r="A50" s="18" t="inlineStr">
        <is>
          <t>利率＼规模倍数</t>
        </is>
      </c>
      <c r="B50" s="57" t="n">
        <v>0.5</v>
      </c>
      <c r="C50" s="57" t="n">
        <v>0.75</v>
      </c>
      <c r="D50" s="57" t="n">
        <v>1</v>
      </c>
      <c r="E50" s="57" t="n">
        <v>1.25</v>
      </c>
      <c r="F50" s="57" t="n">
        <v>1.5</v>
      </c>
    </row>
    <row r="51">
      <c r="A51" s="24" t="n">
        <v>0.03</v>
      </c>
      <c r="B51" s="33">
        <f>$A51*(5*支持排程!$B$8+B$50*SUMPRODUCT(支持排程!$C$6:$G$6-支持排程!$C$7:$G$7,{4.5,3.5,2.5,1.5,0.5}))</f>
        <v>363750</v>
      </c>
      <c r="C51" s="33">
        <f>$A51*(5*支持排程!$B$8+C$50*SUMPRODUCT(支持排程!$C$6:$G$6-支持排程!$C$7:$G$7,{4.5,3.5,2.5,1.5,0.5}))</f>
        <v>395625</v>
      </c>
      <c r="D51" s="33">
        <f>$A51*(5*支持排程!$B$8+D$50*SUMPRODUCT(支持排程!$C$6:$G$6-支持排程!$C$7:$G$7,{4.5,3.5,2.5,1.5,0.5}))</f>
        <v>427500</v>
      </c>
      <c r="E51" s="33">
        <f>$A51*(5*支持排程!$B$8+E$50*SUMPRODUCT(支持排程!$C$6:$G$6-支持排程!$C$7:$G$7,{4.5,3.5,2.5,1.5,0.5}))</f>
        <v>459375</v>
      </c>
      <c r="F51" s="33">
        <f>$A51*(5*支持排程!$B$8+F$50*SUMPRODUCT(支持排程!$C$6:$G$6-支持排程!$C$7:$G$7,{4.5,3.5,2.5,1.5,0.5}))</f>
        <v>491250</v>
      </c>
    </row>
    <row r="52">
      <c r="A52" s="24" t="n">
        <v>0.04</v>
      </c>
      <c r="B52" s="33">
        <f>$A52*(5*支持排程!$B$8+B$50*SUMPRODUCT(支持排程!$C$6:$G$6-支持排程!$C$7:$G$7,{4.5,3.5,2.5,1.5,0.5}))</f>
        <v>485000</v>
      </c>
      <c r="C52" s="33">
        <f>$A52*(5*支持排程!$B$8+C$50*SUMPRODUCT(支持排程!$C$6:$G$6-支持排程!$C$7:$G$7,{4.5,3.5,2.5,1.5,0.5}))</f>
        <v>527500</v>
      </c>
      <c r="D52" s="33">
        <f>$A52*(5*支持排程!$B$8+D$50*SUMPRODUCT(支持排程!$C$6:$G$6-支持排程!$C$7:$G$7,{4.5,3.5,2.5,1.5,0.5}))</f>
        <v>570000</v>
      </c>
      <c r="E52" s="33">
        <f>$A52*(5*支持排程!$B$8+E$50*SUMPRODUCT(支持排程!$C$6:$G$6-支持排程!$C$7:$G$7,{4.5,3.5,2.5,1.5,0.5}))</f>
        <v>612500</v>
      </c>
      <c r="F52" s="33">
        <f>$A52*(5*支持排程!$B$8+F$50*SUMPRODUCT(支持排程!$C$6:$G$6-支持排程!$C$7:$G$7,{4.5,3.5,2.5,1.5,0.5}))</f>
        <v>655000</v>
      </c>
    </row>
    <row r="53">
      <c r="A53" s="24" t="n">
        <v>0.045</v>
      </c>
      <c r="B53" s="33">
        <f>$A53*(5*支持排程!$B$8+B$50*SUMPRODUCT(支持排程!$C$6:$G$6-支持排程!$C$7:$G$7,{4.5,3.5,2.5,1.5,0.5}))</f>
        <v>545625</v>
      </c>
      <c r="C53" s="33">
        <f>$A53*(5*支持排程!$B$8+C$50*SUMPRODUCT(支持排程!$C$6:$G$6-支持排程!$C$7:$G$7,{4.5,3.5,2.5,1.5,0.5}))</f>
        <v>593437.5</v>
      </c>
      <c r="D53" s="33">
        <f>$A53*(5*支持排程!$B$8+D$50*SUMPRODUCT(支持排程!$C$6:$G$6-支持排程!$C$7:$G$7,{4.5,3.5,2.5,1.5,0.5}))</f>
        <v>641250</v>
      </c>
      <c r="E53" s="33">
        <f>$A53*(5*支持排程!$B$8+E$50*SUMPRODUCT(支持排程!$C$6:$G$6-支持排程!$C$7:$G$7,{4.5,3.5,2.5,1.5,0.5}))</f>
        <v>689062.5</v>
      </c>
      <c r="F53" s="33">
        <f>$A53*(5*支持排程!$B$8+F$50*SUMPRODUCT(支持排程!$C$6:$G$6-支持排程!$C$7:$G$7,{4.5,3.5,2.5,1.5,0.5}))</f>
        <v>736875</v>
      </c>
    </row>
    <row r="54">
      <c r="A54" s="24" t="n">
        <v>0.055</v>
      </c>
      <c r="B54" s="33">
        <f>$A54*(5*支持排程!$B$8+B$50*SUMPRODUCT(支持排程!$C$6:$G$6-支持排程!$C$7:$G$7,{4.5,3.5,2.5,1.5,0.5}))</f>
        <v>666875</v>
      </c>
      <c r="C54" s="33">
        <f>$A54*(5*支持排程!$B$8+C$50*SUMPRODUCT(支持排程!$C$6:$G$6-支持排程!$C$7:$G$7,{4.5,3.5,2.5,1.5,0.5}))</f>
        <v>725312.5</v>
      </c>
      <c r="D54" s="33">
        <f>$A54*(5*支持排程!$B$8+D$50*SUMPRODUCT(支持排程!$C$6:$G$6-支持排程!$C$7:$G$7,{4.5,3.5,2.5,1.5,0.5}))</f>
        <v>783750</v>
      </c>
      <c r="E54" s="33">
        <f>$A54*(5*支持排程!$B$8+E$50*SUMPRODUCT(支持排程!$C$6:$G$6-支持排程!$C$7:$G$7,{4.5,3.5,2.5,1.5,0.5}))</f>
        <v>842187.5</v>
      </c>
      <c r="F54" s="33">
        <f>$A54*(5*支持排程!$B$8+F$50*SUMPRODUCT(支持排程!$C$6:$G$6-支持排程!$C$7:$G$7,{4.5,3.5,2.5,1.5,0.5}))</f>
        <v>900625</v>
      </c>
    </row>
    <row r="55">
      <c r="A55" s="24" t="n">
        <v>0.07000000000000001</v>
      </c>
      <c r="B55" s="33">
        <f>$A55*(5*支持排程!$B$8+B$50*SUMPRODUCT(支持排程!$C$6:$G$6-支持排程!$C$7:$G$7,{4.5,3.5,2.5,1.5,0.5}))</f>
        <v>848750</v>
      </c>
      <c r="C55" s="33">
        <f>$A55*(5*支持排程!$B$8+C$50*SUMPRODUCT(支持排程!$C$6:$G$6-支持排程!$C$7:$G$7,{4.5,3.5,2.5,1.5,0.5}))</f>
        <v>923125</v>
      </c>
      <c r="D55" s="33">
        <f>$A55*(5*支持排程!$B$8+D$50*SUMPRODUCT(支持排程!$C$6:$G$6-支持排程!$C$7:$G$7,{4.5,3.5,2.5,1.5,0.5}))</f>
        <v>997500</v>
      </c>
      <c r="E55" s="33">
        <f>$A55*(5*支持排程!$B$8+E$50*SUMPRODUCT(支持排程!$C$6:$G$6-支持排程!$C$7:$G$7,{4.5,3.5,2.5,1.5,0.5}))</f>
        <v>1071875</v>
      </c>
      <c r="F55" s="33">
        <f>$A55*(5*支持排程!$B$8+F$50*SUMPRODUCT(支持排程!$C$6:$G$6-支持排程!$C$7:$G$7,{4.5,3.5,2.5,1.5,0.5}))</f>
        <v>1146250</v>
      </c>
    </row>
    <row r="56">
      <c r="A56" s="39" t="inlineStr">
        <is>
          <t>勾稽校验（当前利率×当前规模）</t>
        </is>
      </c>
      <c r="B56" s="35" t="str">
        <f>IF(IFERROR(ABS(INDEX($B$51:$F$55,MATCH(假设!$C$15,$A$51:$A$55,0),MATCH(1,$B$50:$F$50,0))-SUM(支持排程!$C$10:$G$10)),1)&lt;1,"✓ 与债务排程 5 年累计利息勾稽一致","✗ 与模型不一致（或当前利率/规模不在表中）")</f>
        <v>✓ 与债务排程 5 年累计利息勾稽一致</v>
      </c>
    </row>
    <row r="57">
      <c r="A57" s="48" t="inlineStr">
        <is>
          <t>注：新增借款自放入年起按平均余额生息，累计利息对利率与融资规模均为线性；年份权重 {4.5,3.5,2.5,1.5,0.5} = 5.5−t——第 t 年净融资对 5 年平均余额的贡献系数 =（5−t）+0.5（当年计半年、次年起计全年）；改「支持排程」页蓝色融资计划后，本表与勾稽校验同步更新。</t>
        </is>
      </c>
    </row>
    <row r="59">
      <c r="A59" s="29" t="inlineStr">
        <is>
          <t>六、三情景并排对比（公式驱动 · 随映射表与假设自动更新）</t>
        </is>
      </c>
      <c r="B59" s="38" t="n"/>
      <c r="C59" s="38" t="n"/>
      <c r="D59" s="38" t="n"/>
      <c r="E59" s="38" t="n"/>
      <c r="F59" s="38" t="n"/>
      <c r="G59" s="38" t="n"/>
    </row>
    <row r="60">
      <c r="A60" s="48" t="inlineStr">
        <is>
          <t>列头（蓝色）= 情景名（带下拉验证）；增长率 / 毛利率由 INDEX+MATCH 从「假设」页映射表抓取；净利润与期末现金为解析解，股权价值经下方计算区按无杠杆 DCF 汇总——三列并列，无需逐个切换。</t>
        </is>
      </c>
    </row>
    <row r="61">
      <c r="A61" s="29" t="inlineStr">
        <is>
          <t>指标</t>
        </is>
      </c>
      <c r="B61" s="26" t="inlineStr">
        <is>
          <t>Base</t>
        </is>
      </c>
      <c r="C61" s="26" t="inlineStr">
        <is>
          <t>Bull</t>
        </is>
      </c>
      <c r="D61" s="26" t="inlineStr">
        <is>
          <t>Bear</t>
        </is>
      </c>
    </row>
    <row r="62">
      <c r="A62" s="39" t="inlineStr">
        <is>
          <t>收入增长率 g</t>
        </is>
      </c>
      <c r="B62" s="58">
        <f>INDEX(假设!$B$26:$B$28,MATCH(B$61,假设!$A$26:$A$28,0))</f>
        <v>0.05</v>
      </c>
      <c r="C62" s="58">
        <f>INDEX(假设!$B$26:$B$28,MATCH(C$61,假设!$A$26:$A$28,0))</f>
        <v>0.1</v>
      </c>
      <c r="D62" s="58">
        <f>INDEX(假设!$B$26:$B$28,MATCH(D$61,假设!$A$26:$A$28,0))</f>
        <v>0.03</v>
      </c>
    </row>
    <row r="63">
      <c r="A63" s="39" t="inlineStr">
        <is>
          <t>毛利率 m</t>
        </is>
      </c>
      <c r="B63" s="59">
        <f>INDEX(假设!$C$26:$C$28,MATCH(B$61,假设!$A$26:$A$28,0))</f>
        <v>0.6</v>
      </c>
      <c r="C63" s="59">
        <f>INDEX(假设!$C$26:$C$28,MATCH(C$61,假设!$A$26:$A$28,0))</f>
        <v>0.65</v>
      </c>
      <c r="D63" s="59">
        <f>INDEX(假设!$C$26:$C$28,MATCH(D$61,假设!$A$26:$A$28,0))</f>
        <v>0.55</v>
      </c>
    </row>
    <row r="64">
      <c r="A64" s="39" t="inlineStr">
        <is>
          <t>2027E 净利润（元）</t>
        </is>
      </c>
      <c r="B64" s="33">
        <f>(1-假设!$C$8)*(($B$63*利润表!$B$5-假设!$C$7*假设!$C$10)*(1+$B$62)^2-支持排程!$D$23-支持排程!$D$10)</f>
        <v>130968.75</v>
      </c>
      <c r="C64" s="33">
        <f>(1-假设!$C$8)*(($C$63*利润表!$B$5-假设!$C$7*假设!$C$10)*(1+$C$62)^2-支持排程!$D$23-支持排程!$D$10)</f>
        <v>208593.75</v>
      </c>
      <c r="D64" s="33">
        <f>(1-假设!$C$8)*(($D$63*利润表!$B$5-假设!$C$7*假设!$C$10)*(1+$D$62)^2-支持排程!$D$23-支持排程!$D$10)</f>
        <v>78705</v>
      </c>
    </row>
    <row r="65">
      <c r="A65" s="39" t="inlineStr">
        <is>
          <t>2030E 期末现金（元）</t>
        </is>
      </c>
      <c r="B65" s="33">
        <f>资产负债表!$B$5+(1-假设!$C$8)*(($B$63*利润表!$B$5-假设!$C$7*假设!$C$10)*IF($B$62=0,5,(1+$B$62)*((1+$B$62)^5-1)/$B$62)-SUM(支持排程!$C$23:$G$23)-SUM(支持排程!$C$10:$G$10))+SUM(支持排程!$C$23:$G$23)-(假设!$C$12-假设!$C$13)*利润表!$B$5*(1+$B$62)^5+(资产负债表!$B$6-资产负债表!$B$10)-SUM(支持排程!$C$20:$G$20)+SUM(支持排程!$C$6:$G$6)-SUM(支持排程!$C$7:$G$7)</f>
        <v>6367994.52734375</v>
      </c>
      <c r="C65" s="33">
        <f>资产负债表!$B$5+(1-假设!$C$8)*(($C$63*利润表!$B$5-假设!$C$7*假设!$C$10)*IF($C$62=0,5,(1+$C$62)*((1+$C$62)^5-1)/$C$62)-SUM(支持排程!$C$23:$G$23)-SUM(支持排程!$C$10:$G$10))+SUM(支持排程!$C$23:$G$23)-(假设!$C$12-假设!$C$13)*利润表!$B$5*(1+$C$62)^5+(资产负债表!$B$6-资产负债表!$B$10)-SUM(支持排程!$C$20:$G$20)+SUM(支持排程!$C$6:$G$6)-SUM(支持排程!$C$7:$G$7)</f>
        <v>6877227.63671875</v>
      </c>
      <c r="D65" s="33">
        <f>资产负债表!$B$5+(1-假设!$C$8)*(($D$63*利润表!$B$5-假设!$C$7*假设!$C$10)*IF($D$62=0,5,(1+$D$62)*((1+$D$62)^5-1)/$D$62)-SUM(支持排程!$C$23:$G$23)-SUM(支持排程!$C$10:$G$10))+SUM(支持排程!$C$23:$G$23)-(假设!$C$12-假设!$C$13)*利润表!$B$5*(1+$D$62)^5+(资产负债表!$B$6-资产负债表!$B$10)-SUM(支持排程!$C$20:$G$20)+SUM(支持排程!$C$6:$G$6)-SUM(支持排程!$C$7:$G$7)</f>
        <v>6068728.6526325</v>
      </c>
    </row>
    <row r="66">
      <c r="A66" s="39" t="inlineStr">
        <is>
          <t>股权价值 · 简化 DCF（元）</t>
        </is>
      </c>
      <c r="B66" s="33">
        <f>$C$78</f>
        <v>9978937.25240762</v>
      </c>
      <c r="C66" s="33">
        <f>$C$79</f>
        <v>6378298.95741489</v>
      </c>
      <c r="D66" s="33">
        <f>$C$80</f>
        <v>7864715.58587918</v>
      </c>
    </row>
    <row r="67">
      <c r="A67" s="39" t="inlineStr">
        <is>
          <t>最低利息保障倍数</t>
        </is>
      </c>
      <c r="B67" s="60">
        <f>MIN($C$86:$G$86)</f>
        <v>2.03481481481481</v>
      </c>
      <c r="C67" s="60">
        <f>MIN($C$87:$G$87)</f>
        <v>2.64814814814815</v>
      </c>
      <c r="D67" s="60">
        <f>MIN($C$88:$G$88)</f>
        <v>1.62186666666667</v>
      </c>
    </row>
    <row r="68">
      <c r="A68" s="39" t="inlineStr">
        <is>
          <t>勾稽校验（当前情景列 vs 模型）</t>
        </is>
      </c>
      <c r="B68" s="35" t="str">
        <f>IF(AND(ABS(INDEX($B$64:$D$64,MATCH(假设!$B$3,$B$61:$D$61,0))-利润表!$D$13)&lt;1,ABS(INDEX($B$65:$D$65,MATCH(假设!$B$3,$B$61:$D$61,0))-资产负债表!$G$5)&lt;1,ABS(INDEX($B$66:$D$66,MATCH(假设!$B$3,$B$61:$D$61,0))-$C$15)&lt;1),"✓ 当前情景列与模型勾稽一致（其余情景列为解析解，切换情景后自动重算）","✗ 与模型不一致")</f>
        <v>✓ 当前情景列与模型勾稽一致（其余情景列为解析解，切换情景后自动重算）</v>
      </c>
    </row>
    <row r="70">
      <c r="A70" s="61" t="inlineStr">
        <is>
          <t>计算区（公式中间结果，供上方对比表引用）｜行 = 情景，列 = 年份</t>
        </is>
      </c>
      <c r="C70" s="62" t="inlineStr">
        <is>
          <t>2026E</t>
        </is>
      </c>
      <c r="D70" s="62" t="inlineStr">
        <is>
          <t>2027E</t>
        </is>
      </c>
      <c r="E70" s="62" t="inlineStr">
        <is>
          <t>2028E</t>
        </is>
      </c>
      <c r="F70" s="62" t="inlineStr">
        <is>
          <t>2029E</t>
        </is>
      </c>
      <c r="G70" s="62" t="inlineStr">
        <is>
          <t>2030E</t>
        </is>
      </c>
    </row>
    <row r="71">
      <c r="A71" s="39" t="inlineStr">
        <is>
          <t>FCF（无杠杆）· Base</t>
        </is>
      </c>
      <c r="C71" s="45">
        <f>(1-假设!$C$8)*(($B$63*利润表!$B$5-假设!$C$7*假设!$C$10)*(1+$B$62)^1-支持排程!C23-支持排程!C10)+支持排程!C23+支持排程!C10-支持排程!C10*假设!$C$8-支持排程!C20-(假设!$C$12-假设!$C$13)*利润表!$B$5*((1+$B$62)^1-(1+$B$62)^0)</f>
        <v>236875</v>
      </c>
      <c r="D71" s="45">
        <f>(1-假设!$C$8)*(($B$63*利润表!$B$5-假设!$C$7*假设!$C$10)*(1+$B$62)^2-支持排程!D23-支持排程!D10)+支持排程!D23+支持排程!D10-支持排程!D10*假设!$C$8-支持排程!D20-(假设!$C$12-假设!$C$13)*利润表!$B$5*((1+$B$62)^2-(1+$B$62)^1)</f>
        <v>252531.25</v>
      </c>
      <c r="E71" s="45">
        <f>(1-假设!$C$8)*(($B$63*利润表!$B$5-假设!$C$7*假设!$C$10)*(1+$B$62)^3-支持排程!E23-支持排程!E10)+支持排程!E23+支持排程!E10-支持排程!E10*假设!$C$8-支持排程!E20-(假设!$C$12-假设!$C$13)*利润表!$B$5*((1+$B$62)^3-(1+$B$62)^2)</f>
        <v>268967.1875</v>
      </c>
      <c r="F71" s="45">
        <f>(1-假设!$C$8)*(($B$63*利润表!$B$5-假设!$C$7*假设!$C$10)*(1+$B$62)^4-支持排程!F23-支持排程!F10)+支持排程!F23+支持排程!F10-支持排程!F10*假设!$C$8-支持排程!F20-(假设!$C$12-假设!$C$13)*利润表!$B$5*((1+$B$62)^4-(1+$B$62)^3)</f>
        <v>286221.953125</v>
      </c>
      <c r="G71" s="45">
        <f>(1-假设!$C$8)*(($B$63*利润表!$B$5-假设!$C$7*假设!$C$10)*(1+$B$62)^5-支持排程!G23-支持排程!G10)+支持排程!G23+支持排程!G10-支持排程!G10*假设!$C$8-支持排程!G20-(假设!$C$12-假设!$C$13)*利润表!$B$5*((1+$B$62)^5-(1+$B$62)^4)</f>
        <v>304336.63671875</v>
      </c>
    </row>
    <row r="72">
      <c r="A72" s="39" t="inlineStr">
        <is>
          <t>FCF（无杠杆）· Bull</t>
        </is>
      </c>
      <c r="C72" s="45">
        <f>(1-假设!$C$8)*(($C$63*利润表!$B$5-假设!$C$7*假设!$C$10)*(1+$C$62)^1-支持排程!C23-支持排程!C10)+支持排程!C23+支持排程!C10-支持排程!C10*假设!$C$8-支持排程!C20-(假设!$C$12-假设!$C$13)*利润表!$B$5*((1+$C$62)^1-(1+$C$62)^0)</f>
        <v>290625</v>
      </c>
      <c r="D72" s="45">
        <f>(1-假设!$C$8)*(($C$63*利润表!$B$5-假设!$C$7*假设!$C$10)*(1+$C$62)^2-支持排程!D23-支持排程!D10)+支持排程!D23+支持排程!D10-支持排程!D10*假设!$C$8-支持排程!D20-(假设!$C$12-假设!$C$13)*利润表!$B$5*((1+$C$62)^2-(1+$C$62)^1)</f>
        <v>327281.25</v>
      </c>
      <c r="E72" s="45">
        <f>(1-假设!$C$8)*(($C$63*利润表!$B$5-假设!$C$7*假设!$C$10)*(1+$C$62)^3-支持排程!E23-支持排程!E10)+支持排程!E23+支持排程!E10-支持排程!E10*假设!$C$8-支持排程!E20-(假设!$C$12-假设!$C$13)*利润表!$B$5*((1+$C$62)^3-(1+$C$62)^2)</f>
        <v>367598.4375</v>
      </c>
      <c r="F72" s="45">
        <f>(1-假设!$C$8)*(($C$63*利润表!$B$5-假设!$C$7*假设!$C$10)*(1+$C$62)^4-支持排程!F23-支持排程!F10)+支持排程!F23+支持排程!F10-支持排程!F10*假设!$C$8-支持排程!F20-(假设!$C$12-假设!$C$13)*利润表!$B$5*((1+$C$62)^4-(1+$C$62)^3)</f>
        <v>411942.890625</v>
      </c>
      <c r="G72" s="45">
        <f>(1-假设!$C$8)*(($C$63*利润表!$B$5-假设!$C$7*假设!$C$10)*(1+$C$62)^5-支持排程!G23-支持排程!G10)+支持排程!G23+支持排程!G10-支持排程!G10*假设!$C$8-支持排程!G20-(假设!$C$12-假设!$C$13)*利润表!$B$5*((1+$C$62)^5-(1+$C$62)^4)</f>
        <v>460717.55859375</v>
      </c>
    </row>
    <row r="73">
      <c r="A73" s="39" t="inlineStr">
        <is>
          <t>FCF（无杠杆）· Bear</t>
        </is>
      </c>
      <c r="C73" s="45">
        <f>(1-假设!$C$8)*(($D$63*利润表!$B$5-假设!$C$7*假设!$C$10)*(1+$D$62)^1-支持排程!C23-支持排程!C10)+支持排程!C23+支持排程!C10-支持排程!C10*假设!$C$8-支持排程!C20-(假设!$C$12-假设!$C$13)*利润表!$B$5*((1+$D$62)^1-(1+$D$62)^0)</f>
        <v>193250</v>
      </c>
      <c r="D73" s="45">
        <f>(1-假设!$C$8)*(($D$63*利润表!$B$5-假设!$C$7*假设!$C$10)*(1+$D$62)^2-支持排程!D23-支持排程!D10)+支持排程!D23+支持排程!D10-支持排程!D10*假设!$C$8-支持排程!D20-(假设!$C$12-假设!$C$13)*利润表!$B$5*((1+$D$62)^2-(1+$D$62)^1)</f>
        <v>201347.5</v>
      </c>
      <c r="E73" s="45">
        <f>(1-假设!$C$8)*(($D$63*利润表!$B$5-假设!$C$7*假设!$C$10)*(1+$D$62)^3-支持排程!E23-支持排程!E10)+支持排程!E23+支持排程!E10-支持排程!E10*假设!$C$8-支持排程!E20-(假设!$C$12-假设!$C$13)*利润表!$B$5*((1+$D$62)^3-(1+$D$62)^2)</f>
        <v>209685.425</v>
      </c>
      <c r="F73" s="45">
        <f>(1-假设!$C$8)*(($D$63*利润表!$B$5-假设!$C$7*假设!$C$10)*(1+$D$62)^4-支持排程!F23-支持排程!F10)+支持排程!F23+支持排程!F10-支持排程!F10*假设!$C$8-支持排程!F20-(假设!$C$12-假设!$C$13)*利润表!$B$5*((1+$D$62)^4-(1+$D$62)^3)</f>
        <v>218271.11275</v>
      </c>
      <c r="G73" s="45">
        <f>(1-假设!$C$8)*(($D$63*利润表!$B$5-假设!$C$7*假设!$C$10)*(1+$D$62)^5-支持排程!G23-支持排程!G10)+支持排程!G23+支持排程!G10-支持排程!G10*假设!$C$8-支持排程!G20-(假设!$C$12-假设!$C$13)*利润表!$B$5*((1+$D$62)^5-(1+$D$62)^4)</f>
        <v>227112.1148825</v>
      </c>
    </row>
    <row r="75">
      <c r="A75" s="39" t="inlineStr">
        <is>
          <t>企业价值 · Base</t>
        </is>
      </c>
      <c r="C75" s="45">
        <f>SUMPRODUCT($C$71:$G$71,$C$7:$G$7)+IF(假设!$C$9&lt;=$B$62,0,$G$71*(1+$B$62)/(假设!$C$9-$B$62)*$G$7)</f>
        <v>4978937.25240762</v>
      </c>
    </row>
    <row r="76">
      <c r="A76" s="39" t="inlineStr">
        <is>
          <t>企业价值 · Bull</t>
        </is>
      </c>
      <c r="C76" s="45">
        <f>SUMPRODUCT($C$72:$G$72,$C$7:$G$7)+IF(假设!$C$9&lt;=$C$62,0,$G$72*(1+$C$62)/(假设!$C$9-$C$62)*$G$7)</f>
        <v>1378298.95741489</v>
      </c>
    </row>
    <row r="77">
      <c r="A77" s="39" t="inlineStr">
        <is>
          <t>企业价值 · Bear</t>
        </is>
      </c>
      <c r="C77" s="45">
        <f>SUMPRODUCT($C$73:$G$73,$C$7:$G$7)+IF(假设!$C$9&lt;=$D$62,0,$G$73*(1+$D$62)/(假设!$C$9-$D$62)*$G$7)</f>
        <v>2864715.58587918</v>
      </c>
    </row>
    <row r="78">
      <c r="A78" s="39" t="inlineStr">
        <is>
          <t>股权价值 · Base</t>
        </is>
      </c>
      <c r="C78" s="45">
        <f>C75+$C$14</f>
        <v>9978937.25240762</v>
      </c>
    </row>
    <row r="79">
      <c r="A79" s="39" t="inlineStr">
        <is>
          <t>股权价值 · Bull</t>
        </is>
      </c>
      <c r="C79" s="45">
        <f>C76+$C$14</f>
        <v>6378298.95741489</v>
      </c>
    </row>
    <row r="80">
      <c r="A80" s="39" t="inlineStr">
        <is>
          <t>股权价值 · Bear</t>
        </is>
      </c>
      <c r="C80" s="45">
        <f>C77+$C$14</f>
        <v>7864715.58587918</v>
      </c>
    </row>
    <row r="82">
      <c r="A82" s="39" t="inlineStr">
        <is>
          <t>EBIT · Base</t>
        </is>
      </c>
      <c r="C82" s="45">
        <f>(($B$63*利润表!$B$5-假设!$C$7*假设!$C$10)*(1+$B$62)^1)-支持排程!C23</f>
        <v>322500</v>
      </c>
      <c r="D82" s="45">
        <f>(($B$63*利润表!$B$5-假设!$C$7*假设!$C$10)*(1+$B$62)^2)-支持排程!D23</f>
        <v>343375</v>
      </c>
      <c r="E82" s="45">
        <f>(($B$63*利润表!$B$5-假设!$C$7*假设!$C$10)*(1+$B$62)^3)-支持排程!E23</f>
        <v>365306.25</v>
      </c>
      <c r="F82" s="45">
        <f>(($B$63*利润表!$B$5-假设!$C$7*假设!$C$10)*(1+$B$62)^4)-支持排程!F23</f>
        <v>388345.9375</v>
      </c>
      <c r="G82" s="45">
        <f>(($B$63*利润表!$B$5-假设!$C$7*假设!$C$10)*(1+$B$62)^5)-支持排程!G23</f>
        <v>412548.890625</v>
      </c>
    </row>
    <row r="83">
      <c r="A83" s="39" t="inlineStr">
        <is>
          <t>EBIT · Bull</t>
        </is>
      </c>
      <c r="C83" s="45">
        <f>(($C$63*利润表!$B$5-假设!$C$7*假设!$C$10)*(1+$C$62)^1)-支持排程!C23</f>
        <v>397500</v>
      </c>
      <c r="D83" s="45">
        <f>(($C$63*利润表!$B$5-假设!$C$7*假设!$C$10)*(1+$C$62)^2)-支持排程!D23</f>
        <v>446875</v>
      </c>
      <c r="E83" s="45">
        <f>(($C$63*利润表!$B$5-假设!$C$7*假设!$C$10)*(1+$C$62)^3)-支持排程!E23</f>
        <v>501206.25</v>
      </c>
      <c r="F83" s="45">
        <f>(($C$63*利润表!$B$5-假设!$C$7*假设!$C$10)*(1+$C$62)^4)-支持排程!F23</f>
        <v>560988.4375</v>
      </c>
      <c r="G83" s="45">
        <f>(($C$63*利润表!$B$5-假设!$C$7*假设!$C$10)*(1+$C$62)^5)-支持排程!G23</f>
        <v>626765.765625</v>
      </c>
    </row>
    <row r="84">
      <c r="A84" s="39" t="inlineStr">
        <is>
          <t>EBIT · Bear</t>
        </is>
      </c>
      <c r="C84" s="45">
        <f>(($D$63*利润表!$B$5-假设!$C$7*假设!$C$10)*(1+$D$62)^1)-支持排程!C23</f>
        <v>263000</v>
      </c>
      <c r="D84" s="45">
        <f>(($D$63*利润表!$B$5-假设!$C$7*假设!$C$10)*(1+$D$62)^2)-支持排程!D23</f>
        <v>273690</v>
      </c>
      <c r="E84" s="45">
        <f>(($D$63*利润表!$B$5-假设!$C$7*假设!$C$10)*(1+$D$62)^3)-支持排程!E23</f>
        <v>284710.7</v>
      </c>
      <c r="F84" s="45">
        <f>(($D$63*利润表!$B$5-假设!$C$7*假设!$C$10)*(1+$D$62)^4)-支持排程!F23</f>
        <v>296071.521</v>
      </c>
      <c r="G84" s="45">
        <f>(($D$63*利润表!$B$5-假设!$C$7*假设!$C$10)*(1+$D$62)^5)-支持排程!G23</f>
        <v>307782.19163</v>
      </c>
    </row>
    <row r="86">
      <c r="A86" s="39" t="inlineStr">
        <is>
          <t>利息保障倍数 · Base</t>
        </is>
      </c>
      <c r="C86" s="49">
        <f>IF(支持排程!C$10&gt;0.001,C82/支持排程!C$10,"n.a.")</f>
        <v>2.60606060606061</v>
      </c>
      <c r="D86" s="49">
        <f>IF(支持排程!D$10&gt;0.001,D82/支持排程!D$10,"n.a.")</f>
        <v>2.03481481481481</v>
      </c>
      <c r="E86" s="49">
        <f>IF(支持排程!E$10&gt;0.001,E82/支持排程!E$10,"n.a.")</f>
        <v>2.16477777777778</v>
      </c>
      <c r="F86" s="49">
        <f>IF(支持排程!F$10&gt;0.001,F82/支持排程!F$10,"n.a.")</f>
        <v>3.13814898989899</v>
      </c>
      <c r="G86" s="49">
        <f>IF(支持排程!G$10&gt;0.001,G82/支持排程!G$10,"n.a.")</f>
        <v>7.3342025</v>
      </c>
    </row>
    <row r="87">
      <c r="A87" s="39" t="inlineStr">
        <is>
          <t>利息保障倍数 · Bull</t>
        </is>
      </c>
      <c r="C87" s="49">
        <f>IF(支持排程!C$10&gt;0.001,C83/支持排程!C$10,"n.a.")</f>
        <v>3.21212121212121</v>
      </c>
      <c r="D87" s="49">
        <f>IF(支持排程!D$10&gt;0.001,D83/支持排程!D$10,"n.a.")</f>
        <v>2.64814814814815</v>
      </c>
      <c r="E87" s="49">
        <f>IF(支持排程!E$10&gt;0.001,E83/支持排程!E$10,"n.a.")</f>
        <v>2.97011111111111</v>
      </c>
      <c r="F87" s="49">
        <f>IF(支持排程!F$10&gt;0.001,F83/支持排程!F$10,"n.a.")</f>
        <v>4.5332398989899</v>
      </c>
      <c r="G87" s="49">
        <f>IF(支持排程!G$10&gt;0.001,G83/支持排程!G$10,"n.a.")</f>
        <v>11.1425025</v>
      </c>
    </row>
    <row r="88">
      <c r="A88" s="39" t="inlineStr">
        <is>
          <t>利息保障倍数 · Bear</t>
        </is>
      </c>
      <c r="C88" s="49">
        <f>IF(支持排程!C$10&gt;0.001,C84/支持排程!C$10,"n.a.")</f>
        <v>2.12525252525253</v>
      </c>
      <c r="D88" s="49">
        <f>IF(支持排程!D$10&gt;0.001,D84/支持排程!D$10,"n.a.")</f>
        <v>1.62186666666667</v>
      </c>
      <c r="E88" s="49">
        <f>IF(支持排程!E$10&gt;0.001,E84/支持排程!E$10,"n.a.")</f>
        <v>1.68717451851852</v>
      </c>
      <c r="F88" s="49">
        <f>IF(支持排程!F$10&gt;0.001,F84/支持排程!F$10,"n.a.")</f>
        <v>2.39249713939394</v>
      </c>
      <c r="G88" s="49">
        <f>IF(支持排程!G$10&gt;0.001,G84/支持排程!G$10,"n.a.")</f>
        <v>5.47168340675556</v>
      </c>
    </row>
    <row r="90">
      <c r="A90" s="35" t="str">
        <f>"【动态结论】当前情景 "&amp;假设!$B$3&amp;"（收入增长率 "&amp;TEXT(假设!$C$5,"0.0%")&amp;"、毛利率 "&amp;TEXT(假设!$C$6,"0.0%")&amp;"）：2027E 净利润 "&amp;TEXT(利润表!$D$13/10000,"0.0")&amp;" 万元，期末现金 "&amp;TEXT(现金流量表!$D$20/10000,"0.0")&amp;" 万元，有息负债 "&amp;TEXT(支持排程!$D$8/10000,"0.0")&amp;" 万元；收入增长率每提高 1 个百分点，5 年累计净利润增加约 "&amp;TEXT($C$45,"0.0")&amp;" 万元。"</f>
        <v>【动态结论】当前情景 Base（收入增长率 5.0%、毛利率 60.0%）：2027E 净利润 13.1 万元，期末现金 927.0 万元，有息负债 400.0 万元；收入增长率每提高 1 个百分点，5 年累计净利润增加约 5.2 万元。</v>
      </c>
    </row>
  </sheetData>
  <mergeCells count="8">
    <mergeCell ref="A1:G1"/>
    <mergeCell ref="B37:G37"/>
    <mergeCell ref="A90:G90"/>
    <mergeCell ref="A2:G2"/>
    <mergeCell ref="B26:G26"/>
    <mergeCell ref="B56:G56"/>
    <mergeCell ref="B68:G68"/>
    <mergeCell ref="A46:G46"/>
  </mergeCells>
  <dataValidations count="3">
    <dataValidation sqref="B50:F50" showDropDown="0" showInputMessage="1" showErrorMessage="1" allowBlank="0" errorTitle="输入无效" error="请输入 0.1–3 之间的倍数" promptTitle="规模倍数" prompt="融资计划规模倍数" type="decimal" operator="between">
      <formula1>0.1</formula1>
      <formula2>3</formula2>
    </dataValidation>
    <dataValidation sqref="A51:A55" showDropDown="0" showInputMessage="1" showErrorMessage="1" allowBlank="0" errorTitle="输入无效" error="请输入 0%–15% 之间的利率" promptTitle="借款年利率" prompt="有效范围：0%–15%" type="decimal" operator="between">
      <formula1>0</formula1>
      <formula2>0.15</formula2>
    </dataValidation>
    <dataValidation sqref="B61:D61" showDropDown="0" showInputMessage="1" showErrorMessage="1" allowBlank="0" errorTitle="输入无效" error="请从下拉列表中选择：Base / Bull / Bear" promptTitle="情景列头" prompt="该列的增长率/毛利率按此情景抓取" type="list">
      <formula1>"Base,Bull,Bear"</formula1>
    </dataValidation>
  </dataValidations>
  <pageMargins left="0.35" right="0.3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Model Builder</dc:creator>
  <dc:title xmlns:dc="http://purl.org/dc/elements/1.1/">星链数科三表联动模型 v3</dc:title>
  <dcterms:created xmlns:dcterms="http://purl.org/dc/terms/" xmlns:xsi="http://www.w3.org/2001/XMLSchema-instance" xsi:type="dcterms:W3CDTF">2026-10-19T08:38:49Z</dcterms:created>
  <dcterms:modified xmlns:dcterms="http://purl.org/dc/terms/" xmlns:xsi="http://www.w3.org/2001/XMLSchema-instance" xsi:type="dcterms:W3CDTF">2026-10-19T08:38:49Z</dcterms:modified>
</cp:coreProperties>
</file>